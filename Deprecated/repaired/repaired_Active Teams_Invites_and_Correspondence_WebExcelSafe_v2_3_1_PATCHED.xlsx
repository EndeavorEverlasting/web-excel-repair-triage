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7F6D204C-DEFF-4CCC-9C0C-806CF8F07C93}" xr6:coauthVersionLast="47" xr6:coauthVersionMax="47" xr10:uidLastSave="{00000000-0000-0000-0000-000000000000}"/>
  <bookViews>
    <workbookView xWindow="-60" yWindow="-60" windowWidth="15480" windowHeight="11640" activeTab="8" xr2:uid="{00000000-000D-0000-FFFF-FFFF00000000}"/>
  </bookViews>
  <sheets>
    <sheet name="PM Showcase" sheetId="1" r:id="rId1"/>
    <sheet name="System Notes" sheetId="2" r:id="rId2"/>
    <sheet name="Invite Builder" sheetId="3" r:id="rId3"/>
    <sheet name="Correspondence Ledger" sheetId="4" r:id="rId4"/>
    <sheet name="unwired teams invite tab" sheetId="5" r:id="rId5"/>
    <sheet name="IP-2026-01-12" sheetId="6" r:id="rId6"/>
    <sheet name="Khadejah 1-8-2026" sheetId="7" r:id="rId7"/>
    <sheet name="Alejandro 1-8-2026" sheetId="8" r:id="rId8"/>
    <sheet name="Julio 1-8-2026" sheetId="9" r:id="rId9"/>
    <sheet name="Picklists" sheetId="10" r:id="rId10"/>
    <sheet name="Drop-ins" sheetId="11" r:id="rId11"/>
  </sheets>
  <definedNames>
    <definedName name="_xlnm._FilterDatabase" localSheetId="0" hidden="1">'PM Showcase'!$A$4:$I$204</definedName>
    <definedName name="ReminderMinutesList">Picklists!$C$2:$C$20</definedName>
    <definedName name="ShowAsList">Picklists!$A$2:$A$20</definedName>
    <definedName name="StatusList">Picklists!$B$2:$B$20</definedName>
    <definedName name="TimeZoneList">Picklists!$D$2:$D$20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3" l="1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R500" i="3"/>
  <c r="R499" i="3"/>
  <c r="R498" i="3"/>
  <c r="R497" i="3"/>
  <c r="R496" i="3"/>
  <c r="R495" i="3"/>
  <c r="R494" i="3"/>
  <c r="R493" i="3"/>
  <c r="R492" i="3"/>
  <c r="R491" i="3"/>
  <c r="R490" i="3"/>
  <c r="R489" i="3"/>
  <c r="R488" i="3"/>
  <c r="R487" i="3"/>
  <c r="R486" i="3"/>
  <c r="R485" i="3"/>
  <c r="R484" i="3"/>
  <c r="R483" i="3"/>
  <c r="R482" i="3"/>
  <c r="R481" i="3"/>
  <c r="R480" i="3"/>
  <c r="R479" i="3"/>
  <c r="R478" i="3"/>
  <c r="R477" i="3"/>
  <c r="R476" i="3"/>
  <c r="R475" i="3"/>
  <c r="R474" i="3"/>
  <c r="R473" i="3"/>
  <c r="R472" i="3"/>
  <c r="R471" i="3"/>
  <c r="R470" i="3"/>
  <c r="R469" i="3"/>
  <c r="R468" i="3"/>
  <c r="R467" i="3"/>
  <c r="R466" i="3"/>
  <c r="R465" i="3"/>
  <c r="R464" i="3"/>
  <c r="R463" i="3"/>
  <c r="R462" i="3"/>
  <c r="R461" i="3"/>
  <c r="R460" i="3"/>
  <c r="R459" i="3"/>
  <c r="R458" i="3"/>
  <c r="R457" i="3"/>
  <c r="R456" i="3"/>
  <c r="R455" i="3"/>
  <c r="R454" i="3"/>
  <c r="R453" i="3"/>
  <c r="R452" i="3"/>
  <c r="R451" i="3"/>
  <c r="R450" i="3"/>
  <c r="R449" i="3"/>
  <c r="R448" i="3"/>
  <c r="R447" i="3"/>
  <c r="R446" i="3"/>
  <c r="R445" i="3"/>
  <c r="R444" i="3"/>
  <c r="R443" i="3"/>
  <c r="R442" i="3"/>
  <c r="R441" i="3"/>
  <c r="R440" i="3"/>
  <c r="R439" i="3"/>
  <c r="R438" i="3"/>
  <c r="R437" i="3"/>
  <c r="R436" i="3"/>
  <c r="R435" i="3"/>
  <c r="R434" i="3"/>
  <c r="R433" i="3"/>
  <c r="R432" i="3"/>
  <c r="R431" i="3"/>
  <c r="R430" i="3"/>
  <c r="R429" i="3"/>
  <c r="R428" i="3"/>
  <c r="R427" i="3"/>
  <c r="R426" i="3"/>
  <c r="R425" i="3"/>
  <c r="R424" i="3"/>
  <c r="R423" i="3"/>
  <c r="R422" i="3"/>
  <c r="R421" i="3"/>
  <c r="R420" i="3"/>
  <c r="R419" i="3"/>
  <c r="R418" i="3"/>
  <c r="R417" i="3"/>
  <c r="R416" i="3"/>
  <c r="R415" i="3"/>
  <c r="R414" i="3"/>
  <c r="R413" i="3"/>
  <c r="R412" i="3"/>
  <c r="R411" i="3"/>
  <c r="R410" i="3"/>
  <c r="R409" i="3"/>
  <c r="R408" i="3"/>
  <c r="R407" i="3"/>
  <c r="R406" i="3"/>
  <c r="R405" i="3"/>
  <c r="R404" i="3"/>
  <c r="R403" i="3"/>
  <c r="R402" i="3"/>
  <c r="R401" i="3"/>
  <c r="R400" i="3"/>
  <c r="R399" i="3"/>
  <c r="R398" i="3"/>
  <c r="R397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381" i="3"/>
  <c r="R380" i="3"/>
  <c r="R379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1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2" i="3"/>
  <c r="R291" i="3"/>
  <c r="R290" i="3"/>
  <c r="R289" i="3"/>
  <c r="R288" i="3"/>
  <c r="R287" i="3"/>
  <c r="R286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A150" i="3"/>
  <c r="R149" i="3"/>
  <c r="A149" i="3"/>
  <c r="R148" i="3"/>
  <c r="A148" i="3"/>
  <c r="R147" i="3"/>
  <c r="A147" i="3"/>
  <c r="R146" i="3"/>
  <c r="A146" i="3"/>
  <c r="R145" i="3"/>
  <c r="A145" i="3"/>
  <c r="R144" i="3"/>
  <c r="A144" i="3"/>
  <c r="R143" i="3"/>
  <c r="A143" i="3"/>
  <c r="R142" i="3"/>
  <c r="A142" i="3"/>
  <c r="R141" i="3"/>
  <c r="A141" i="3"/>
  <c r="R140" i="3"/>
  <c r="A140" i="3"/>
  <c r="R139" i="3"/>
  <c r="A139" i="3"/>
  <c r="R138" i="3"/>
  <c r="A138" i="3"/>
  <c r="R137" i="3"/>
  <c r="A137" i="3"/>
  <c r="R136" i="3"/>
  <c r="A136" i="3"/>
  <c r="R135" i="3"/>
  <c r="A135" i="3"/>
  <c r="R134" i="3"/>
  <c r="A134" i="3"/>
  <c r="R133" i="3"/>
  <c r="A133" i="3"/>
  <c r="R132" i="3"/>
  <c r="A132" i="3"/>
  <c r="R131" i="3"/>
  <c r="A131" i="3"/>
  <c r="R130" i="3"/>
  <c r="A130" i="3"/>
  <c r="R129" i="3"/>
  <c r="A129" i="3"/>
  <c r="R128" i="3"/>
  <c r="A128" i="3"/>
  <c r="R127" i="3"/>
  <c r="A127" i="3"/>
  <c r="R126" i="3"/>
  <c r="A126" i="3"/>
  <c r="R125" i="3"/>
  <c r="A125" i="3"/>
  <c r="R124" i="3"/>
  <c r="A124" i="3"/>
  <c r="R123" i="3"/>
  <c r="A123" i="3"/>
  <c r="R122" i="3"/>
  <c r="A122" i="3"/>
  <c r="R121" i="3"/>
  <c r="A121" i="3"/>
  <c r="R120" i="3"/>
  <c r="A120" i="3"/>
  <c r="R119" i="3"/>
  <c r="A119" i="3"/>
  <c r="R118" i="3"/>
  <c r="A118" i="3"/>
  <c r="R117" i="3"/>
  <c r="A117" i="3"/>
  <c r="R116" i="3"/>
  <c r="A116" i="3"/>
  <c r="R115" i="3"/>
  <c r="A115" i="3"/>
  <c r="R114" i="3"/>
  <c r="A114" i="3"/>
  <c r="R113" i="3"/>
  <c r="A113" i="3"/>
  <c r="R112" i="3"/>
  <c r="A112" i="3"/>
  <c r="R111" i="3"/>
  <c r="A111" i="3"/>
  <c r="R110" i="3"/>
  <c r="A110" i="3"/>
  <c r="R109" i="3"/>
  <c r="A109" i="3"/>
  <c r="R108" i="3"/>
  <c r="A108" i="3"/>
  <c r="R107" i="3"/>
  <c r="A107" i="3"/>
  <c r="R106" i="3"/>
  <c r="A106" i="3"/>
  <c r="R105" i="3"/>
  <c r="A105" i="3"/>
  <c r="R104" i="3"/>
  <c r="A104" i="3"/>
  <c r="R103" i="3"/>
  <c r="A103" i="3"/>
  <c r="R102" i="3"/>
  <c r="A102" i="3"/>
  <c r="R101" i="3"/>
  <c r="A101" i="3"/>
  <c r="R100" i="3"/>
  <c r="A100" i="3"/>
  <c r="R99" i="3"/>
  <c r="A99" i="3"/>
  <c r="R98" i="3"/>
  <c r="A98" i="3"/>
  <c r="R97" i="3"/>
  <c r="A97" i="3"/>
  <c r="R96" i="3"/>
  <c r="A96" i="3"/>
  <c r="R95" i="3"/>
  <c r="A95" i="3"/>
  <c r="R94" i="3"/>
  <c r="A94" i="3"/>
  <c r="R93" i="3"/>
  <c r="A93" i="3"/>
  <c r="R92" i="3"/>
  <c r="A92" i="3"/>
  <c r="R91" i="3"/>
  <c r="A91" i="3"/>
  <c r="R90" i="3"/>
  <c r="A90" i="3"/>
  <c r="R89" i="3"/>
  <c r="A89" i="3"/>
  <c r="R88" i="3"/>
  <c r="A88" i="3"/>
  <c r="R87" i="3"/>
  <c r="A87" i="3"/>
  <c r="R86" i="3"/>
  <c r="A86" i="3"/>
  <c r="R85" i="3"/>
  <c r="A85" i="3"/>
  <c r="R84" i="3"/>
  <c r="A84" i="3"/>
  <c r="R83" i="3"/>
  <c r="A83" i="3"/>
  <c r="R82" i="3"/>
  <c r="A82" i="3"/>
  <c r="R81" i="3"/>
  <c r="A81" i="3"/>
  <c r="R80" i="3"/>
  <c r="A80" i="3"/>
  <c r="R79" i="3"/>
  <c r="A79" i="3"/>
  <c r="R78" i="3"/>
  <c r="A78" i="3"/>
  <c r="R77" i="3"/>
  <c r="A77" i="3"/>
  <c r="R76" i="3"/>
  <c r="A76" i="3"/>
  <c r="R75" i="3"/>
  <c r="A75" i="3"/>
  <c r="R74" i="3"/>
  <c r="A74" i="3"/>
  <c r="R73" i="3"/>
  <c r="A73" i="3"/>
  <c r="R72" i="3"/>
  <c r="A72" i="3"/>
  <c r="R71" i="3"/>
  <c r="A71" i="3"/>
  <c r="R70" i="3"/>
  <c r="A70" i="3"/>
  <c r="R69" i="3"/>
  <c r="A69" i="3"/>
  <c r="R68" i="3"/>
  <c r="A68" i="3"/>
  <c r="R67" i="3"/>
  <c r="A67" i="3"/>
  <c r="R66" i="3"/>
  <c r="A66" i="3"/>
  <c r="R65" i="3"/>
  <c r="A65" i="3"/>
  <c r="R64" i="3"/>
  <c r="A64" i="3"/>
  <c r="R63" i="3"/>
  <c r="A63" i="3"/>
  <c r="R62" i="3"/>
  <c r="A62" i="3"/>
  <c r="R61" i="3"/>
  <c r="A61" i="3"/>
  <c r="R60" i="3"/>
  <c r="A60" i="3"/>
  <c r="R59" i="3"/>
  <c r="A59" i="3"/>
  <c r="R58" i="3"/>
  <c r="A58" i="3"/>
  <c r="R57" i="3"/>
  <c r="A57" i="3"/>
  <c r="R56" i="3"/>
  <c r="A56" i="3"/>
  <c r="R55" i="3"/>
  <c r="A55" i="3"/>
  <c r="R54" i="3"/>
  <c r="A54" i="3"/>
  <c r="R53" i="3"/>
  <c r="A53" i="3"/>
  <c r="R52" i="3"/>
  <c r="A52" i="3"/>
  <c r="R51" i="3"/>
  <c r="A51" i="3"/>
  <c r="R50" i="3"/>
  <c r="A50" i="3"/>
  <c r="R49" i="3"/>
  <c r="A49" i="3"/>
  <c r="R48" i="3"/>
  <c r="A48" i="3"/>
  <c r="R47" i="3"/>
  <c r="A47" i="3"/>
  <c r="R46" i="3"/>
  <c r="A46" i="3"/>
  <c r="R45" i="3"/>
  <c r="A45" i="3"/>
  <c r="R44" i="3"/>
  <c r="A44" i="3"/>
  <c r="R43" i="3"/>
  <c r="A43" i="3"/>
  <c r="R42" i="3"/>
  <c r="A42" i="3"/>
  <c r="R41" i="3"/>
  <c r="A41" i="3"/>
  <c r="R40" i="3"/>
  <c r="A40" i="3"/>
  <c r="R39" i="3"/>
  <c r="A39" i="3"/>
  <c r="R38" i="3"/>
  <c r="A38" i="3"/>
  <c r="R37" i="3"/>
  <c r="A37" i="3"/>
  <c r="R36" i="3"/>
  <c r="A36" i="3"/>
  <c r="R35" i="3"/>
  <c r="A35" i="3"/>
  <c r="R34" i="3"/>
  <c r="A34" i="3"/>
  <c r="R33" i="3"/>
  <c r="A33" i="3"/>
  <c r="R32" i="3"/>
  <c r="A32" i="3"/>
  <c r="R31" i="3"/>
  <c r="A31" i="3"/>
  <c r="R30" i="3"/>
  <c r="A30" i="3"/>
  <c r="R29" i="3"/>
  <c r="A29" i="3"/>
  <c r="R28" i="3"/>
  <c r="A28" i="3"/>
  <c r="R27" i="3"/>
  <c r="A27" i="3"/>
  <c r="R26" i="3"/>
  <c r="A26" i="3"/>
  <c r="R25" i="3"/>
  <c r="A25" i="3"/>
  <c r="R24" i="3"/>
  <c r="A24" i="3"/>
  <c r="R23" i="3"/>
  <c r="A23" i="3"/>
  <c r="R22" i="3"/>
  <c r="A22" i="3"/>
  <c r="R21" i="3"/>
  <c r="A21" i="3"/>
  <c r="R20" i="3"/>
  <c r="A20" i="3"/>
  <c r="R19" i="3"/>
  <c r="A19" i="3"/>
  <c r="R18" i="3"/>
  <c r="A18" i="3"/>
  <c r="R17" i="3"/>
  <c r="A17" i="3"/>
  <c r="R16" i="3"/>
  <c r="A16" i="3"/>
  <c r="R15" i="3"/>
  <c r="A15" i="3"/>
  <c r="R14" i="3"/>
  <c r="A14" i="3"/>
  <c r="R13" i="3"/>
  <c r="A13" i="3"/>
  <c r="R12" i="3"/>
  <c r="A12" i="3"/>
  <c r="R11" i="3"/>
  <c r="A11" i="3"/>
  <c r="R10" i="3"/>
  <c r="A10" i="3"/>
  <c r="R9" i="3"/>
  <c r="A9" i="3"/>
  <c r="R8" i="3"/>
  <c r="A8" i="3"/>
  <c r="R7" i="3"/>
  <c r="A7" i="3"/>
  <c r="R6" i="3"/>
  <c r="A6" i="3"/>
  <c r="R5" i="3"/>
  <c r="R3" i="3"/>
  <c r="R2" i="3"/>
  <c r="B214" i="1"/>
  <c r="B213" i="1"/>
  <c r="B212" i="1"/>
  <c r="I204" i="1"/>
  <c r="H204" i="1"/>
  <c r="G204" i="1"/>
  <c r="F204" i="1"/>
  <c r="E204" i="1"/>
  <c r="D204" i="1"/>
  <c r="C204" i="1"/>
  <c r="B204" i="1"/>
  <c r="A204" i="1"/>
  <c r="I203" i="1"/>
  <c r="H203" i="1"/>
  <c r="G203" i="1"/>
  <c r="F203" i="1"/>
  <c r="E203" i="1"/>
  <c r="D203" i="1"/>
  <c r="C203" i="1"/>
  <c r="B203" i="1"/>
  <c r="A203" i="1"/>
  <c r="I202" i="1"/>
  <c r="H202" i="1"/>
  <c r="G202" i="1"/>
  <c r="F202" i="1"/>
  <c r="E202" i="1"/>
  <c r="D202" i="1"/>
  <c r="C202" i="1"/>
  <c r="B202" i="1"/>
  <c r="A202" i="1"/>
  <c r="I201" i="1"/>
  <c r="H201" i="1"/>
  <c r="G201" i="1"/>
  <c r="F201" i="1"/>
  <c r="E201" i="1"/>
  <c r="D201" i="1"/>
  <c r="C201" i="1"/>
  <c r="B201" i="1"/>
  <c r="A201" i="1"/>
  <c r="I200" i="1"/>
  <c r="H200" i="1"/>
  <c r="G200" i="1"/>
  <c r="F200" i="1"/>
  <c r="E200" i="1"/>
  <c r="D200" i="1"/>
  <c r="C200" i="1"/>
  <c r="B200" i="1"/>
  <c r="A200" i="1"/>
  <c r="I199" i="1"/>
  <c r="H199" i="1"/>
  <c r="G199" i="1"/>
  <c r="F199" i="1"/>
  <c r="E199" i="1"/>
  <c r="D199" i="1"/>
  <c r="C199" i="1"/>
  <c r="B199" i="1"/>
  <c r="A199" i="1"/>
  <c r="I198" i="1"/>
  <c r="H198" i="1"/>
  <c r="G198" i="1"/>
  <c r="F198" i="1"/>
  <c r="E198" i="1"/>
  <c r="D198" i="1"/>
  <c r="C198" i="1"/>
  <c r="B198" i="1"/>
  <c r="A198" i="1"/>
  <c r="I197" i="1"/>
  <c r="H197" i="1"/>
  <c r="G197" i="1"/>
  <c r="F197" i="1"/>
  <c r="E197" i="1"/>
  <c r="D197" i="1"/>
  <c r="C197" i="1"/>
  <c r="B197" i="1"/>
  <c r="A197" i="1"/>
  <c r="I196" i="1"/>
  <c r="H196" i="1"/>
  <c r="G196" i="1"/>
  <c r="F196" i="1"/>
  <c r="E196" i="1"/>
  <c r="D196" i="1"/>
  <c r="C196" i="1"/>
  <c r="B196" i="1"/>
  <c r="A196" i="1"/>
  <c r="I195" i="1"/>
  <c r="H195" i="1"/>
  <c r="G195" i="1"/>
  <c r="F195" i="1"/>
  <c r="E195" i="1"/>
  <c r="D195" i="1"/>
  <c r="C195" i="1"/>
  <c r="B195" i="1"/>
  <c r="A195" i="1"/>
  <c r="I194" i="1"/>
  <c r="H194" i="1"/>
  <c r="G194" i="1"/>
  <c r="F194" i="1"/>
  <c r="E194" i="1"/>
  <c r="D194" i="1"/>
  <c r="C194" i="1"/>
  <c r="B194" i="1"/>
  <c r="A194" i="1"/>
  <c r="I193" i="1"/>
  <c r="H193" i="1"/>
  <c r="G193" i="1"/>
  <c r="F193" i="1"/>
  <c r="E193" i="1"/>
  <c r="D193" i="1"/>
  <c r="C193" i="1"/>
  <c r="B193" i="1"/>
  <c r="A193" i="1"/>
  <c r="I192" i="1"/>
  <c r="H192" i="1"/>
  <c r="G192" i="1"/>
  <c r="F192" i="1"/>
  <c r="E192" i="1"/>
  <c r="D192" i="1"/>
  <c r="C192" i="1"/>
  <c r="B192" i="1"/>
  <c r="A192" i="1"/>
  <c r="I191" i="1"/>
  <c r="H191" i="1"/>
  <c r="G191" i="1"/>
  <c r="F191" i="1"/>
  <c r="E191" i="1"/>
  <c r="D191" i="1"/>
  <c r="C191" i="1"/>
  <c r="B191" i="1"/>
  <c r="A191" i="1"/>
  <c r="I190" i="1"/>
  <c r="H190" i="1"/>
  <c r="G190" i="1"/>
  <c r="F190" i="1"/>
  <c r="E190" i="1"/>
  <c r="D190" i="1"/>
  <c r="C190" i="1"/>
  <c r="B190" i="1"/>
  <c r="A190" i="1"/>
  <c r="I189" i="1"/>
  <c r="H189" i="1"/>
  <c r="G189" i="1"/>
  <c r="F189" i="1"/>
  <c r="E189" i="1"/>
  <c r="D189" i="1"/>
  <c r="C189" i="1"/>
  <c r="B189" i="1"/>
  <c r="A189" i="1"/>
  <c r="I188" i="1"/>
  <c r="H188" i="1"/>
  <c r="G188" i="1"/>
  <c r="F188" i="1"/>
  <c r="E188" i="1"/>
  <c r="D188" i="1"/>
  <c r="C188" i="1"/>
  <c r="B188" i="1"/>
  <c r="A188" i="1"/>
  <c r="I187" i="1"/>
  <c r="H187" i="1"/>
  <c r="G187" i="1"/>
  <c r="F187" i="1"/>
  <c r="E187" i="1"/>
  <c r="D187" i="1"/>
  <c r="C187" i="1"/>
  <c r="B187" i="1"/>
  <c r="A187" i="1"/>
  <c r="I186" i="1"/>
  <c r="H186" i="1"/>
  <c r="G186" i="1"/>
  <c r="F186" i="1"/>
  <c r="E186" i="1"/>
  <c r="D186" i="1"/>
  <c r="C186" i="1"/>
  <c r="B186" i="1"/>
  <c r="A186" i="1"/>
  <c r="I185" i="1"/>
  <c r="H185" i="1"/>
  <c r="G185" i="1"/>
  <c r="F185" i="1"/>
  <c r="E185" i="1"/>
  <c r="D185" i="1"/>
  <c r="C185" i="1"/>
  <c r="B185" i="1"/>
  <c r="A185" i="1"/>
  <c r="I184" i="1"/>
  <c r="H184" i="1"/>
  <c r="G184" i="1"/>
  <c r="F184" i="1"/>
  <c r="E184" i="1"/>
  <c r="D184" i="1"/>
  <c r="C184" i="1"/>
  <c r="B184" i="1"/>
  <c r="A184" i="1"/>
  <c r="I183" i="1"/>
  <c r="H183" i="1"/>
  <c r="G183" i="1"/>
  <c r="F183" i="1"/>
  <c r="E183" i="1"/>
  <c r="D183" i="1"/>
  <c r="C183" i="1"/>
  <c r="B183" i="1"/>
  <c r="A183" i="1"/>
  <c r="I182" i="1"/>
  <c r="H182" i="1"/>
  <c r="G182" i="1"/>
  <c r="F182" i="1"/>
  <c r="E182" i="1"/>
  <c r="D182" i="1"/>
  <c r="C182" i="1"/>
  <c r="B182" i="1"/>
  <c r="A182" i="1"/>
  <c r="I181" i="1"/>
  <c r="H181" i="1"/>
  <c r="G181" i="1"/>
  <c r="F181" i="1"/>
  <c r="E181" i="1"/>
  <c r="D181" i="1"/>
  <c r="C181" i="1"/>
  <c r="B181" i="1"/>
  <c r="A181" i="1"/>
  <c r="I180" i="1"/>
  <c r="H180" i="1"/>
  <c r="G180" i="1"/>
  <c r="F180" i="1"/>
  <c r="E180" i="1"/>
  <c r="D180" i="1"/>
  <c r="C180" i="1"/>
  <c r="B180" i="1"/>
  <c r="A180" i="1"/>
  <c r="I179" i="1"/>
  <c r="H179" i="1"/>
  <c r="G179" i="1"/>
  <c r="F179" i="1"/>
  <c r="E179" i="1"/>
  <c r="D179" i="1"/>
  <c r="C179" i="1"/>
  <c r="B179" i="1"/>
  <c r="A179" i="1"/>
  <c r="I178" i="1"/>
  <c r="H178" i="1"/>
  <c r="G178" i="1"/>
  <c r="F178" i="1"/>
  <c r="E178" i="1"/>
  <c r="D178" i="1"/>
  <c r="C178" i="1"/>
  <c r="B178" i="1"/>
  <c r="A178" i="1"/>
  <c r="I177" i="1"/>
  <c r="H177" i="1"/>
  <c r="G177" i="1"/>
  <c r="F177" i="1"/>
  <c r="E177" i="1"/>
  <c r="D177" i="1"/>
  <c r="C177" i="1"/>
  <c r="B177" i="1"/>
  <c r="A177" i="1"/>
  <c r="I176" i="1"/>
  <c r="H176" i="1"/>
  <c r="G176" i="1"/>
  <c r="F176" i="1"/>
  <c r="E176" i="1"/>
  <c r="D176" i="1"/>
  <c r="C176" i="1"/>
  <c r="B176" i="1"/>
  <c r="A176" i="1"/>
  <c r="I175" i="1"/>
  <c r="H175" i="1"/>
  <c r="G175" i="1"/>
  <c r="F175" i="1"/>
  <c r="E175" i="1"/>
  <c r="D175" i="1"/>
  <c r="C175" i="1"/>
  <c r="B175" i="1"/>
  <c r="A175" i="1"/>
  <c r="I174" i="1"/>
  <c r="H174" i="1"/>
  <c r="G174" i="1"/>
  <c r="F174" i="1"/>
  <c r="E174" i="1"/>
  <c r="D174" i="1"/>
  <c r="C174" i="1"/>
  <c r="B174" i="1"/>
  <c r="A174" i="1"/>
  <c r="I173" i="1"/>
  <c r="H173" i="1"/>
  <c r="G173" i="1"/>
  <c r="F173" i="1"/>
  <c r="E173" i="1"/>
  <c r="D173" i="1"/>
  <c r="C173" i="1"/>
  <c r="B173" i="1"/>
  <c r="A173" i="1"/>
  <c r="I172" i="1"/>
  <c r="H172" i="1"/>
  <c r="G172" i="1"/>
  <c r="F172" i="1"/>
  <c r="E172" i="1"/>
  <c r="D172" i="1"/>
  <c r="C172" i="1"/>
  <c r="B172" i="1"/>
  <c r="A172" i="1"/>
  <c r="I171" i="1"/>
  <c r="H171" i="1"/>
  <c r="G171" i="1"/>
  <c r="F171" i="1"/>
  <c r="E171" i="1"/>
  <c r="D171" i="1"/>
  <c r="C171" i="1"/>
  <c r="B171" i="1"/>
  <c r="A171" i="1"/>
  <c r="I170" i="1"/>
  <c r="H170" i="1"/>
  <c r="G170" i="1"/>
  <c r="F170" i="1"/>
  <c r="E170" i="1"/>
  <c r="D170" i="1"/>
  <c r="C170" i="1"/>
  <c r="B170" i="1"/>
  <c r="A170" i="1"/>
  <c r="I169" i="1"/>
  <c r="H169" i="1"/>
  <c r="G169" i="1"/>
  <c r="F169" i="1"/>
  <c r="E169" i="1"/>
  <c r="D169" i="1"/>
  <c r="C169" i="1"/>
  <c r="B169" i="1"/>
  <c r="A169" i="1"/>
  <c r="I168" i="1"/>
  <c r="H168" i="1"/>
  <c r="G168" i="1"/>
  <c r="F168" i="1"/>
  <c r="E168" i="1"/>
  <c r="D168" i="1"/>
  <c r="C168" i="1"/>
  <c r="B168" i="1"/>
  <c r="A168" i="1"/>
  <c r="I167" i="1"/>
  <c r="H167" i="1"/>
  <c r="G167" i="1"/>
  <c r="F167" i="1"/>
  <c r="E167" i="1"/>
  <c r="D167" i="1"/>
  <c r="C167" i="1"/>
  <c r="B167" i="1"/>
  <c r="A167" i="1"/>
  <c r="I166" i="1"/>
  <c r="H166" i="1"/>
  <c r="G166" i="1"/>
  <c r="F166" i="1"/>
  <c r="E166" i="1"/>
  <c r="D166" i="1"/>
  <c r="C166" i="1"/>
  <c r="B166" i="1"/>
  <c r="A166" i="1"/>
  <c r="I165" i="1"/>
  <c r="H165" i="1"/>
  <c r="G165" i="1"/>
  <c r="F165" i="1"/>
  <c r="E165" i="1"/>
  <c r="D165" i="1"/>
  <c r="C165" i="1"/>
  <c r="B165" i="1"/>
  <c r="A165" i="1"/>
  <c r="I164" i="1"/>
  <c r="H164" i="1"/>
  <c r="G164" i="1"/>
  <c r="F164" i="1"/>
  <c r="E164" i="1"/>
  <c r="D164" i="1"/>
  <c r="C164" i="1"/>
  <c r="B164" i="1"/>
  <c r="A164" i="1"/>
  <c r="I163" i="1"/>
  <c r="H163" i="1"/>
  <c r="G163" i="1"/>
  <c r="F163" i="1"/>
  <c r="E163" i="1"/>
  <c r="D163" i="1"/>
  <c r="C163" i="1"/>
  <c r="B163" i="1"/>
  <c r="A163" i="1"/>
  <c r="I162" i="1"/>
  <c r="H162" i="1"/>
  <c r="G162" i="1"/>
  <c r="F162" i="1"/>
  <c r="E162" i="1"/>
  <c r="D162" i="1"/>
  <c r="C162" i="1"/>
  <c r="B162" i="1"/>
  <c r="A162" i="1"/>
  <c r="I161" i="1"/>
  <c r="H161" i="1"/>
  <c r="G161" i="1"/>
  <c r="F161" i="1"/>
  <c r="E161" i="1"/>
  <c r="D161" i="1"/>
  <c r="C161" i="1"/>
  <c r="B161" i="1"/>
  <c r="A161" i="1"/>
  <c r="I160" i="1"/>
  <c r="H160" i="1"/>
  <c r="G160" i="1"/>
  <c r="F160" i="1"/>
  <c r="E160" i="1"/>
  <c r="D160" i="1"/>
  <c r="C160" i="1"/>
  <c r="B160" i="1"/>
  <c r="A160" i="1"/>
  <c r="I159" i="1"/>
  <c r="H159" i="1"/>
  <c r="G159" i="1"/>
  <c r="F159" i="1"/>
  <c r="E159" i="1"/>
  <c r="D159" i="1"/>
  <c r="C159" i="1"/>
  <c r="B159" i="1"/>
  <c r="A159" i="1"/>
  <c r="I158" i="1"/>
  <c r="H158" i="1"/>
  <c r="G158" i="1"/>
  <c r="F158" i="1"/>
  <c r="E158" i="1"/>
  <c r="D158" i="1"/>
  <c r="C158" i="1"/>
  <c r="B158" i="1"/>
  <c r="A158" i="1"/>
  <c r="I157" i="1"/>
  <c r="H157" i="1"/>
  <c r="G157" i="1"/>
  <c r="F157" i="1"/>
  <c r="E157" i="1"/>
  <c r="D157" i="1"/>
  <c r="C157" i="1"/>
  <c r="B157" i="1"/>
  <c r="A157" i="1"/>
  <c r="I156" i="1"/>
  <c r="H156" i="1"/>
  <c r="G156" i="1"/>
  <c r="F156" i="1"/>
  <c r="E156" i="1"/>
  <c r="D156" i="1"/>
  <c r="C156" i="1"/>
  <c r="B156" i="1"/>
  <c r="A156" i="1"/>
  <c r="I155" i="1"/>
  <c r="H155" i="1"/>
  <c r="G155" i="1"/>
  <c r="F155" i="1"/>
  <c r="E155" i="1"/>
  <c r="D155" i="1"/>
  <c r="C155" i="1"/>
  <c r="B155" i="1"/>
  <c r="A155" i="1"/>
  <c r="I154" i="1"/>
  <c r="H154" i="1"/>
  <c r="G154" i="1"/>
  <c r="F154" i="1"/>
  <c r="E154" i="1"/>
  <c r="D154" i="1"/>
  <c r="C154" i="1"/>
  <c r="B154" i="1"/>
  <c r="A154" i="1"/>
  <c r="I153" i="1"/>
  <c r="H153" i="1"/>
  <c r="G153" i="1"/>
  <c r="F153" i="1"/>
  <c r="E153" i="1"/>
  <c r="D153" i="1"/>
  <c r="C153" i="1"/>
  <c r="B153" i="1"/>
  <c r="A153" i="1"/>
  <c r="I152" i="1"/>
  <c r="H152" i="1"/>
  <c r="G152" i="1"/>
  <c r="F152" i="1"/>
  <c r="E152" i="1"/>
  <c r="D152" i="1"/>
  <c r="C152" i="1"/>
  <c r="B152" i="1"/>
  <c r="A152" i="1"/>
  <c r="I151" i="1"/>
  <c r="H151" i="1"/>
  <c r="G151" i="1"/>
  <c r="F151" i="1"/>
  <c r="E151" i="1"/>
  <c r="D151" i="1"/>
  <c r="C151" i="1"/>
  <c r="B151" i="1"/>
  <c r="A151" i="1"/>
  <c r="I150" i="1"/>
  <c r="H150" i="1"/>
  <c r="G150" i="1"/>
  <c r="F150" i="1"/>
  <c r="E150" i="1"/>
  <c r="D150" i="1"/>
  <c r="C150" i="1"/>
  <c r="B150" i="1"/>
  <c r="A150" i="1"/>
  <c r="I149" i="1"/>
  <c r="H149" i="1"/>
  <c r="G149" i="1"/>
  <c r="F149" i="1"/>
  <c r="E149" i="1"/>
  <c r="D149" i="1"/>
  <c r="C149" i="1"/>
  <c r="B149" i="1"/>
  <c r="A149" i="1"/>
  <c r="I148" i="1"/>
  <c r="H148" i="1"/>
  <c r="G148" i="1"/>
  <c r="F148" i="1"/>
  <c r="E148" i="1"/>
  <c r="D148" i="1"/>
  <c r="C148" i="1"/>
  <c r="B148" i="1"/>
  <c r="A148" i="1"/>
  <c r="I147" i="1"/>
  <c r="H147" i="1"/>
  <c r="G147" i="1"/>
  <c r="F147" i="1"/>
  <c r="E147" i="1"/>
  <c r="D147" i="1"/>
  <c r="C147" i="1"/>
  <c r="B147" i="1"/>
  <c r="A147" i="1"/>
  <c r="I146" i="1"/>
  <c r="H146" i="1"/>
  <c r="G146" i="1"/>
  <c r="F146" i="1"/>
  <c r="E146" i="1"/>
  <c r="D146" i="1"/>
  <c r="C146" i="1"/>
  <c r="B146" i="1"/>
  <c r="A146" i="1"/>
  <c r="I145" i="1"/>
  <c r="H145" i="1"/>
  <c r="G145" i="1"/>
  <c r="F145" i="1"/>
  <c r="E145" i="1"/>
  <c r="D145" i="1"/>
  <c r="C145" i="1"/>
  <c r="B145" i="1"/>
  <c r="A145" i="1"/>
  <c r="I144" i="1"/>
  <c r="H144" i="1"/>
  <c r="G144" i="1"/>
  <c r="F144" i="1"/>
  <c r="E144" i="1"/>
  <c r="D144" i="1"/>
  <c r="C144" i="1"/>
  <c r="B144" i="1"/>
  <c r="A144" i="1"/>
  <c r="I143" i="1"/>
  <c r="H143" i="1"/>
  <c r="G143" i="1"/>
  <c r="F143" i="1"/>
  <c r="E143" i="1"/>
  <c r="D143" i="1"/>
  <c r="C143" i="1"/>
  <c r="B143" i="1"/>
  <c r="A143" i="1"/>
  <c r="I142" i="1"/>
  <c r="H142" i="1"/>
  <c r="G142" i="1"/>
  <c r="F142" i="1"/>
  <c r="E142" i="1"/>
  <c r="D142" i="1"/>
  <c r="C142" i="1"/>
  <c r="B142" i="1"/>
  <c r="A142" i="1"/>
  <c r="I141" i="1"/>
  <c r="H141" i="1"/>
  <c r="G141" i="1"/>
  <c r="F141" i="1"/>
  <c r="E141" i="1"/>
  <c r="D141" i="1"/>
  <c r="C141" i="1"/>
  <c r="B141" i="1"/>
  <c r="A141" i="1"/>
  <c r="I140" i="1"/>
  <c r="H140" i="1"/>
  <c r="G140" i="1"/>
  <c r="F140" i="1"/>
  <c r="E140" i="1"/>
  <c r="D140" i="1"/>
  <c r="C140" i="1"/>
  <c r="B140" i="1"/>
  <c r="A140" i="1"/>
  <c r="I139" i="1"/>
  <c r="H139" i="1"/>
  <c r="G139" i="1"/>
  <c r="F139" i="1"/>
  <c r="E139" i="1"/>
  <c r="D139" i="1"/>
  <c r="C139" i="1"/>
  <c r="B139" i="1"/>
  <c r="A139" i="1"/>
  <c r="I138" i="1"/>
  <c r="H138" i="1"/>
  <c r="G138" i="1"/>
  <c r="F138" i="1"/>
  <c r="E138" i="1"/>
  <c r="D138" i="1"/>
  <c r="C138" i="1"/>
  <c r="B138" i="1"/>
  <c r="A138" i="1"/>
  <c r="I137" i="1"/>
  <c r="H137" i="1"/>
  <c r="G137" i="1"/>
  <c r="F137" i="1"/>
  <c r="E137" i="1"/>
  <c r="D137" i="1"/>
  <c r="C137" i="1"/>
  <c r="B137" i="1"/>
  <c r="A137" i="1"/>
  <c r="I136" i="1"/>
  <c r="H136" i="1"/>
  <c r="G136" i="1"/>
  <c r="F136" i="1"/>
  <c r="E136" i="1"/>
  <c r="D136" i="1"/>
  <c r="C136" i="1"/>
  <c r="B136" i="1"/>
  <c r="A136" i="1"/>
  <c r="I135" i="1"/>
  <c r="H135" i="1"/>
  <c r="G135" i="1"/>
  <c r="F135" i="1"/>
  <c r="E135" i="1"/>
  <c r="D135" i="1"/>
  <c r="C135" i="1"/>
  <c r="B135" i="1"/>
  <c r="A135" i="1"/>
  <c r="I134" i="1"/>
  <c r="H134" i="1"/>
  <c r="G134" i="1"/>
  <c r="F134" i="1"/>
  <c r="E134" i="1"/>
  <c r="D134" i="1"/>
  <c r="C134" i="1"/>
  <c r="B134" i="1"/>
  <c r="A134" i="1"/>
  <c r="I133" i="1"/>
  <c r="H133" i="1"/>
  <c r="G133" i="1"/>
  <c r="F133" i="1"/>
  <c r="E133" i="1"/>
  <c r="D133" i="1"/>
  <c r="C133" i="1"/>
  <c r="B133" i="1"/>
  <c r="A133" i="1"/>
  <c r="I132" i="1"/>
  <c r="H132" i="1"/>
  <c r="G132" i="1"/>
  <c r="F132" i="1"/>
  <c r="E132" i="1"/>
  <c r="D132" i="1"/>
  <c r="C132" i="1"/>
  <c r="B132" i="1"/>
  <c r="A132" i="1"/>
  <c r="I131" i="1"/>
  <c r="H131" i="1"/>
  <c r="G131" i="1"/>
  <c r="F131" i="1"/>
  <c r="E131" i="1"/>
  <c r="D131" i="1"/>
  <c r="C131" i="1"/>
  <c r="B131" i="1"/>
  <c r="A131" i="1"/>
  <c r="I130" i="1"/>
  <c r="H130" i="1"/>
  <c r="G130" i="1"/>
  <c r="F130" i="1"/>
  <c r="E130" i="1"/>
  <c r="D130" i="1"/>
  <c r="C130" i="1"/>
  <c r="B130" i="1"/>
  <c r="A130" i="1"/>
  <c r="I129" i="1"/>
  <c r="H129" i="1"/>
  <c r="G129" i="1"/>
  <c r="F129" i="1"/>
  <c r="E129" i="1"/>
  <c r="D129" i="1"/>
  <c r="C129" i="1"/>
  <c r="B129" i="1"/>
  <c r="A129" i="1"/>
  <c r="I128" i="1"/>
  <c r="H128" i="1"/>
  <c r="G128" i="1"/>
  <c r="F128" i="1"/>
  <c r="E128" i="1"/>
  <c r="D128" i="1"/>
  <c r="C128" i="1"/>
  <c r="B128" i="1"/>
  <c r="A128" i="1"/>
  <c r="I127" i="1"/>
  <c r="H127" i="1"/>
  <c r="G127" i="1"/>
  <c r="F127" i="1"/>
  <c r="E127" i="1"/>
  <c r="D127" i="1"/>
  <c r="C127" i="1"/>
  <c r="B127" i="1"/>
  <c r="A127" i="1"/>
  <c r="I126" i="1"/>
  <c r="H126" i="1"/>
  <c r="G126" i="1"/>
  <c r="F126" i="1"/>
  <c r="E126" i="1"/>
  <c r="D126" i="1"/>
  <c r="C126" i="1"/>
  <c r="B126" i="1"/>
  <c r="A126" i="1"/>
  <c r="I125" i="1"/>
  <c r="H125" i="1"/>
  <c r="G125" i="1"/>
  <c r="F125" i="1"/>
  <c r="E125" i="1"/>
  <c r="D125" i="1"/>
  <c r="C125" i="1"/>
  <c r="B125" i="1"/>
  <c r="A125" i="1"/>
  <c r="I124" i="1"/>
  <c r="H124" i="1"/>
  <c r="G124" i="1"/>
  <c r="F124" i="1"/>
  <c r="E124" i="1"/>
  <c r="D124" i="1"/>
  <c r="C124" i="1"/>
  <c r="B124" i="1"/>
  <c r="A124" i="1"/>
  <c r="I123" i="1"/>
  <c r="H123" i="1"/>
  <c r="G123" i="1"/>
  <c r="F123" i="1"/>
  <c r="E123" i="1"/>
  <c r="D123" i="1"/>
  <c r="C123" i="1"/>
  <c r="B123" i="1"/>
  <c r="A123" i="1"/>
  <c r="I122" i="1"/>
  <c r="H122" i="1"/>
  <c r="G122" i="1"/>
  <c r="F122" i="1"/>
  <c r="E122" i="1"/>
  <c r="D122" i="1"/>
  <c r="C122" i="1"/>
  <c r="B122" i="1"/>
  <c r="A122" i="1"/>
  <c r="I121" i="1"/>
  <c r="H121" i="1"/>
  <c r="G121" i="1"/>
  <c r="F121" i="1"/>
  <c r="E121" i="1"/>
  <c r="D121" i="1"/>
  <c r="C121" i="1"/>
  <c r="B121" i="1"/>
  <c r="A121" i="1"/>
  <c r="I120" i="1"/>
  <c r="H120" i="1"/>
  <c r="G120" i="1"/>
  <c r="F120" i="1"/>
  <c r="E120" i="1"/>
  <c r="D120" i="1"/>
  <c r="C120" i="1"/>
  <c r="B120" i="1"/>
  <c r="A120" i="1"/>
  <c r="I119" i="1"/>
  <c r="H119" i="1"/>
  <c r="G119" i="1"/>
  <c r="F119" i="1"/>
  <c r="E119" i="1"/>
  <c r="D119" i="1"/>
  <c r="C119" i="1"/>
  <c r="B119" i="1"/>
  <c r="A119" i="1"/>
  <c r="I118" i="1"/>
  <c r="H118" i="1"/>
  <c r="G118" i="1"/>
  <c r="F118" i="1"/>
  <c r="E118" i="1"/>
  <c r="D118" i="1"/>
  <c r="C118" i="1"/>
  <c r="B118" i="1"/>
  <c r="A118" i="1"/>
  <c r="I117" i="1"/>
  <c r="H117" i="1"/>
  <c r="G117" i="1"/>
  <c r="F117" i="1"/>
  <c r="E117" i="1"/>
  <c r="D117" i="1"/>
  <c r="C117" i="1"/>
  <c r="B117" i="1"/>
  <c r="A117" i="1"/>
  <c r="I116" i="1"/>
  <c r="H116" i="1"/>
  <c r="G116" i="1"/>
  <c r="F116" i="1"/>
  <c r="E116" i="1"/>
  <c r="D116" i="1"/>
  <c r="C116" i="1"/>
  <c r="B116" i="1"/>
  <c r="A116" i="1"/>
  <c r="I115" i="1"/>
  <c r="H115" i="1"/>
  <c r="G115" i="1"/>
  <c r="F115" i="1"/>
  <c r="E115" i="1"/>
  <c r="D115" i="1"/>
  <c r="C115" i="1"/>
  <c r="B115" i="1"/>
  <c r="A115" i="1"/>
  <c r="I114" i="1"/>
  <c r="H114" i="1"/>
  <c r="G114" i="1"/>
  <c r="F114" i="1"/>
  <c r="E114" i="1"/>
  <c r="D114" i="1"/>
  <c r="C114" i="1"/>
  <c r="B114" i="1"/>
  <c r="A114" i="1"/>
  <c r="I113" i="1"/>
  <c r="H113" i="1"/>
  <c r="G113" i="1"/>
  <c r="F113" i="1"/>
  <c r="E113" i="1"/>
  <c r="D113" i="1"/>
  <c r="C113" i="1"/>
  <c r="B113" i="1"/>
  <c r="A113" i="1"/>
  <c r="I112" i="1"/>
  <c r="H112" i="1"/>
  <c r="G112" i="1"/>
  <c r="F112" i="1"/>
  <c r="E112" i="1"/>
  <c r="D112" i="1"/>
  <c r="C112" i="1"/>
  <c r="B112" i="1"/>
  <c r="A112" i="1"/>
  <c r="I111" i="1"/>
  <c r="H111" i="1"/>
  <c r="G111" i="1"/>
  <c r="F111" i="1"/>
  <c r="E111" i="1"/>
  <c r="D111" i="1"/>
  <c r="C111" i="1"/>
  <c r="B111" i="1"/>
  <c r="A111" i="1"/>
  <c r="I110" i="1"/>
  <c r="H110" i="1"/>
  <c r="G110" i="1"/>
  <c r="F110" i="1"/>
  <c r="E110" i="1"/>
  <c r="D110" i="1"/>
  <c r="C110" i="1"/>
  <c r="B110" i="1"/>
  <c r="A110" i="1"/>
  <c r="I109" i="1"/>
  <c r="H109" i="1"/>
  <c r="G109" i="1"/>
  <c r="F109" i="1"/>
  <c r="E109" i="1"/>
  <c r="D109" i="1"/>
  <c r="C109" i="1"/>
  <c r="B109" i="1"/>
  <c r="A109" i="1"/>
  <c r="I108" i="1"/>
  <c r="H108" i="1"/>
  <c r="G108" i="1"/>
  <c r="F108" i="1"/>
  <c r="E108" i="1"/>
  <c r="D108" i="1"/>
  <c r="C108" i="1"/>
  <c r="B108" i="1"/>
  <c r="A108" i="1"/>
  <c r="I107" i="1"/>
  <c r="H107" i="1"/>
  <c r="G107" i="1"/>
  <c r="F107" i="1"/>
  <c r="E107" i="1"/>
  <c r="D107" i="1"/>
  <c r="C107" i="1"/>
  <c r="B107" i="1"/>
  <c r="A107" i="1"/>
  <c r="I106" i="1"/>
  <c r="H106" i="1"/>
  <c r="G106" i="1"/>
  <c r="F106" i="1"/>
  <c r="E106" i="1"/>
  <c r="D106" i="1"/>
  <c r="C106" i="1"/>
  <c r="B106" i="1"/>
  <c r="A106" i="1"/>
  <c r="I105" i="1"/>
  <c r="H105" i="1"/>
  <c r="G105" i="1"/>
  <c r="F105" i="1"/>
  <c r="E105" i="1"/>
  <c r="D105" i="1"/>
  <c r="C105" i="1"/>
  <c r="B105" i="1"/>
  <c r="A105" i="1"/>
  <c r="I104" i="1"/>
  <c r="H104" i="1"/>
  <c r="G104" i="1"/>
  <c r="F104" i="1"/>
  <c r="E104" i="1"/>
  <c r="D104" i="1"/>
  <c r="C104" i="1"/>
  <c r="B104" i="1"/>
  <c r="A104" i="1"/>
  <c r="I103" i="1"/>
  <c r="H103" i="1"/>
  <c r="G103" i="1"/>
  <c r="F103" i="1"/>
  <c r="E103" i="1"/>
  <c r="D103" i="1"/>
  <c r="C103" i="1"/>
  <c r="B103" i="1"/>
  <c r="A103" i="1"/>
  <c r="I102" i="1"/>
  <c r="H102" i="1"/>
  <c r="G102" i="1"/>
  <c r="F102" i="1"/>
  <c r="E102" i="1"/>
  <c r="D102" i="1"/>
  <c r="C102" i="1"/>
  <c r="B102" i="1"/>
  <c r="A102" i="1"/>
  <c r="I101" i="1"/>
  <c r="H101" i="1"/>
  <c r="G101" i="1"/>
  <c r="F101" i="1"/>
  <c r="E101" i="1"/>
  <c r="D101" i="1"/>
  <c r="C101" i="1"/>
  <c r="B101" i="1"/>
  <c r="A101" i="1"/>
  <c r="I100" i="1"/>
  <c r="H100" i="1"/>
  <c r="G100" i="1"/>
  <c r="F100" i="1"/>
  <c r="E100" i="1"/>
  <c r="D100" i="1"/>
  <c r="C100" i="1"/>
  <c r="B100" i="1"/>
  <c r="A100" i="1"/>
  <c r="I99" i="1"/>
  <c r="H99" i="1"/>
  <c r="G99" i="1"/>
  <c r="F99" i="1"/>
  <c r="E99" i="1"/>
  <c r="D99" i="1"/>
  <c r="C99" i="1"/>
  <c r="B99" i="1"/>
  <c r="A99" i="1"/>
  <c r="I98" i="1"/>
  <c r="H98" i="1"/>
  <c r="G98" i="1"/>
  <c r="F98" i="1"/>
  <c r="E98" i="1"/>
  <c r="D98" i="1"/>
  <c r="C98" i="1"/>
  <c r="B98" i="1"/>
  <c r="A98" i="1"/>
  <c r="I97" i="1"/>
  <c r="H97" i="1"/>
  <c r="G97" i="1"/>
  <c r="F97" i="1"/>
  <c r="E97" i="1"/>
  <c r="D97" i="1"/>
  <c r="C97" i="1"/>
  <c r="B97" i="1"/>
  <c r="A97" i="1"/>
  <c r="I96" i="1"/>
  <c r="H96" i="1"/>
  <c r="G96" i="1"/>
  <c r="F96" i="1"/>
  <c r="E96" i="1"/>
  <c r="D96" i="1"/>
  <c r="C96" i="1"/>
  <c r="B96" i="1"/>
  <c r="A96" i="1"/>
  <c r="I95" i="1"/>
  <c r="H95" i="1"/>
  <c r="G95" i="1"/>
  <c r="F95" i="1"/>
  <c r="E95" i="1"/>
  <c r="D95" i="1"/>
  <c r="C95" i="1"/>
  <c r="B95" i="1"/>
  <c r="A95" i="1"/>
  <c r="I94" i="1"/>
  <c r="H94" i="1"/>
  <c r="G94" i="1"/>
  <c r="F94" i="1"/>
  <c r="E94" i="1"/>
  <c r="D94" i="1"/>
  <c r="C94" i="1"/>
  <c r="B94" i="1"/>
  <c r="A94" i="1"/>
  <c r="I93" i="1"/>
  <c r="H93" i="1"/>
  <c r="G93" i="1"/>
  <c r="F93" i="1"/>
  <c r="E93" i="1"/>
  <c r="D93" i="1"/>
  <c r="C93" i="1"/>
  <c r="B93" i="1"/>
  <c r="A93" i="1"/>
  <c r="I92" i="1"/>
  <c r="H92" i="1"/>
  <c r="G92" i="1"/>
  <c r="F92" i="1"/>
  <c r="E92" i="1"/>
  <c r="D92" i="1"/>
  <c r="C92" i="1"/>
  <c r="B92" i="1"/>
  <c r="A92" i="1"/>
  <c r="I91" i="1"/>
  <c r="H91" i="1"/>
  <c r="G91" i="1"/>
  <c r="F91" i="1"/>
  <c r="E91" i="1"/>
  <c r="D91" i="1"/>
  <c r="C91" i="1"/>
  <c r="B91" i="1"/>
  <c r="A91" i="1"/>
  <c r="I90" i="1"/>
  <c r="H90" i="1"/>
  <c r="G90" i="1"/>
  <c r="F90" i="1"/>
  <c r="E90" i="1"/>
  <c r="D90" i="1"/>
  <c r="C90" i="1"/>
  <c r="B90" i="1"/>
  <c r="A90" i="1"/>
  <c r="I89" i="1"/>
  <c r="H89" i="1"/>
  <c r="G89" i="1"/>
  <c r="F89" i="1"/>
  <c r="E89" i="1"/>
  <c r="D89" i="1"/>
  <c r="C89" i="1"/>
  <c r="B89" i="1"/>
  <c r="A89" i="1"/>
  <c r="I88" i="1"/>
  <c r="H88" i="1"/>
  <c r="G88" i="1"/>
  <c r="F88" i="1"/>
  <c r="E88" i="1"/>
  <c r="D88" i="1"/>
  <c r="C88" i="1"/>
  <c r="B88" i="1"/>
  <c r="A88" i="1"/>
  <c r="I87" i="1"/>
  <c r="H87" i="1"/>
  <c r="G87" i="1"/>
  <c r="F87" i="1"/>
  <c r="E87" i="1"/>
  <c r="D87" i="1"/>
  <c r="C87" i="1"/>
  <c r="B87" i="1"/>
  <c r="A87" i="1"/>
  <c r="I86" i="1"/>
  <c r="H86" i="1"/>
  <c r="G86" i="1"/>
  <c r="F86" i="1"/>
  <c r="E86" i="1"/>
  <c r="D86" i="1"/>
  <c r="C86" i="1"/>
  <c r="B86" i="1"/>
  <c r="A86" i="1"/>
  <c r="I85" i="1"/>
  <c r="H85" i="1"/>
  <c r="G85" i="1"/>
  <c r="F85" i="1"/>
  <c r="E85" i="1"/>
  <c r="D85" i="1"/>
  <c r="C85" i="1"/>
  <c r="B85" i="1"/>
  <c r="A85" i="1"/>
  <c r="I84" i="1"/>
  <c r="H84" i="1"/>
  <c r="G84" i="1"/>
  <c r="F84" i="1"/>
  <c r="E84" i="1"/>
  <c r="D84" i="1"/>
  <c r="C84" i="1"/>
  <c r="B84" i="1"/>
  <c r="A84" i="1"/>
  <c r="I83" i="1"/>
  <c r="H83" i="1"/>
  <c r="G83" i="1"/>
  <c r="F83" i="1"/>
  <c r="E83" i="1"/>
  <c r="D83" i="1"/>
  <c r="C83" i="1"/>
  <c r="B83" i="1"/>
  <c r="A83" i="1"/>
  <c r="I82" i="1"/>
  <c r="H82" i="1"/>
  <c r="G82" i="1"/>
  <c r="F82" i="1"/>
  <c r="E82" i="1"/>
  <c r="D82" i="1"/>
  <c r="C82" i="1"/>
  <c r="B82" i="1"/>
  <c r="A82" i="1"/>
  <c r="I81" i="1"/>
  <c r="H81" i="1"/>
  <c r="G81" i="1"/>
  <c r="F81" i="1"/>
  <c r="E81" i="1"/>
  <c r="D81" i="1"/>
  <c r="C81" i="1"/>
  <c r="B81" i="1"/>
  <c r="A81" i="1"/>
  <c r="I80" i="1"/>
  <c r="H80" i="1"/>
  <c r="G80" i="1"/>
  <c r="F80" i="1"/>
  <c r="E80" i="1"/>
  <c r="D80" i="1"/>
  <c r="C80" i="1"/>
  <c r="B80" i="1"/>
  <c r="A80" i="1"/>
  <c r="I79" i="1"/>
  <c r="H79" i="1"/>
  <c r="G79" i="1"/>
  <c r="F79" i="1"/>
  <c r="E79" i="1"/>
  <c r="D79" i="1"/>
  <c r="C79" i="1"/>
  <c r="B79" i="1"/>
  <c r="A79" i="1"/>
  <c r="I78" i="1"/>
  <c r="H78" i="1"/>
  <c r="G78" i="1"/>
  <c r="F78" i="1"/>
  <c r="E78" i="1"/>
  <c r="D78" i="1"/>
  <c r="C78" i="1"/>
  <c r="B78" i="1"/>
  <c r="A78" i="1"/>
  <c r="I77" i="1"/>
  <c r="H77" i="1"/>
  <c r="G77" i="1"/>
  <c r="F77" i="1"/>
  <c r="E77" i="1"/>
  <c r="D77" i="1"/>
  <c r="C77" i="1"/>
  <c r="B77" i="1"/>
  <c r="A77" i="1"/>
  <c r="I76" i="1"/>
  <c r="H76" i="1"/>
  <c r="G76" i="1"/>
  <c r="F76" i="1"/>
  <c r="E76" i="1"/>
  <c r="D76" i="1"/>
  <c r="C76" i="1"/>
  <c r="B76" i="1"/>
  <c r="A76" i="1"/>
  <c r="I75" i="1"/>
  <c r="H75" i="1"/>
  <c r="G75" i="1"/>
  <c r="F75" i="1"/>
  <c r="E75" i="1"/>
  <c r="D75" i="1"/>
  <c r="C75" i="1"/>
  <c r="B75" i="1"/>
  <c r="A75" i="1"/>
  <c r="I74" i="1"/>
  <c r="H74" i="1"/>
  <c r="G74" i="1"/>
  <c r="F74" i="1"/>
  <c r="E74" i="1"/>
  <c r="D74" i="1"/>
  <c r="C74" i="1"/>
  <c r="B74" i="1"/>
  <c r="A74" i="1"/>
  <c r="I73" i="1"/>
  <c r="H73" i="1"/>
  <c r="G73" i="1"/>
  <c r="F73" i="1"/>
  <c r="E73" i="1"/>
  <c r="D73" i="1"/>
  <c r="C73" i="1"/>
  <c r="B73" i="1"/>
  <c r="A73" i="1"/>
  <c r="I72" i="1"/>
  <c r="H72" i="1"/>
  <c r="G72" i="1"/>
  <c r="F72" i="1"/>
  <c r="E72" i="1"/>
  <c r="D72" i="1"/>
  <c r="C72" i="1"/>
  <c r="B72" i="1"/>
  <c r="A72" i="1"/>
  <c r="I71" i="1"/>
  <c r="H71" i="1"/>
  <c r="G71" i="1"/>
  <c r="F71" i="1"/>
  <c r="E71" i="1"/>
  <c r="D71" i="1"/>
  <c r="C71" i="1"/>
  <c r="B71" i="1"/>
  <c r="A71" i="1"/>
  <c r="I70" i="1"/>
  <c r="H70" i="1"/>
  <c r="G70" i="1"/>
  <c r="F70" i="1"/>
  <c r="E70" i="1"/>
  <c r="D70" i="1"/>
  <c r="C70" i="1"/>
  <c r="B70" i="1"/>
  <c r="A70" i="1"/>
  <c r="I69" i="1"/>
  <c r="H69" i="1"/>
  <c r="G69" i="1"/>
  <c r="F69" i="1"/>
  <c r="E69" i="1"/>
  <c r="D69" i="1"/>
  <c r="C69" i="1"/>
  <c r="B69" i="1"/>
  <c r="A69" i="1"/>
  <c r="I68" i="1"/>
  <c r="H68" i="1"/>
  <c r="G68" i="1"/>
  <c r="F68" i="1"/>
  <c r="E68" i="1"/>
  <c r="D68" i="1"/>
  <c r="C68" i="1"/>
  <c r="B68" i="1"/>
  <c r="A68" i="1"/>
  <c r="I67" i="1"/>
  <c r="H67" i="1"/>
  <c r="G67" i="1"/>
  <c r="F67" i="1"/>
  <c r="E67" i="1"/>
  <c r="D67" i="1"/>
  <c r="C67" i="1"/>
  <c r="B67" i="1"/>
  <c r="A67" i="1"/>
  <c r="I66" i="1"/>
  <c r="H66" i="1"/>
  <c r="G66" i="1"/>
  <c r="F66" i="1"/>
  <c r="E66" i="1"/>
  <c r="D66" i="1"/>
  <c r="C66" i="1"/>
  <c r="B66" i="1"/>
  <c r="A66" i="1"/>
  <c r="I65" i="1"/>
  <c r="H65" i="1"/>
  <c r="G65" i="1"/>
  <c r="F65" i="1"/>
  <c r="E65" i="1"/>
  <c r="D65" i="1"/>
  <c r="C65" i="1"/>
  <c r="B65" i="1"/>
  <c r="A65" i="1"/>
  <c r="I64" i="1"/>
  <c r="H64" i="1"/>
  <c r="G64" i="1"/>
  <c r="F64" i="1"/>
  <c r="E64" i="1"/>
  <c r="D64" i="1"/>
  <c r="C64" i="1"/>
  <c r="B64" i="1"/>
  <c r="A64" i="1"/>
  <c r="I63" i="1"/>
  <c r="H63" i="1"/>
  <c r="G63" i="1"/>
  <c r="F63" i="1"/>
  <c r="E63" i="1"/>
  <c r="D63" i="1"/>
  <c r="C63" i="1"/>
  <c r="B63" i="1"/>
  <c r="A63" i="1"/>
  <c r="I62" i="1"/>
  <c r="H62" i="1"/>
  <c r="G62" i="1"/>
  <c r="F62" i="1"/>
  <c r="E62" i="1"/>
  <c r="D62" i="1"/>
  <c r="C62" i="1"/>
  <c r="B62" i="1"/>
  <c r="A62" i="1"/>
  <c r="I61" i="1"/>
  <c r="H61" i="1"/>
  <c r="G61" i="1"/>
  <c r="F61" i="1"/>
  <c r="E61" i="1"/>
  <c r="D61" i="1"/>
  <c r="C61" i="1"/>
  <c r="B61" i="1"/>
  <c r="A61" i="1"/>
  <c r="I60" i="1"/>
  <c r="H60" i="1"/>
  <c r="G60" i="1"/>
  <c r="F60" i="1"/>
  <c r="E60" i="1"/>
  <c r="D60" i="1"/>
  <c r="C60" i="1"/>
  <c r="B60" i="1"/>
  <c r="A60" i="1"/>
  <c r="I59" i="1"/>
  <c r="H59" i="1"/>
  <c r="G59" i="1"/>
  <c r="F59" i="1"/>
  <c r="E59" i="1"/>
  <c r="D59" i="1"/>
  <c r="C59" i="1"/>
  <c r="B59" i="1"/>
  <c r="A59" i="1"/>
  <c r="I58" i="1"/>
  <c r="H58" i="1"/>
  <c r="G58" i="1"/>
  <c r="F58" i="1"/>
  <c r="E58" i="1"/>
  <c r="D58" i="1"/>
  <c r="C58" i="1"/>
  <c r="B58" i="1"/>
  <c r="A58" i="1"/>
  <c r="I57" i="1"/>
  <c r="H57" i="1"/>
  <c r="G57" i="1"/>
  <c r="F57" i="1"/>
  <c r="E57" i="1"/>
  <c r="D57" i="1"/>
  <c r="C57" i="1"/>
  <c r="B57" i="1"/>
  <c r="A57" i="1"/>
  <c r="I56" i="1"/>
  <c r="H56" i="1"/>
  <c r="G56" i="1"/>
  <c r="F56" i="1"/>
  <c r="E56" i="1"/>
  <c r="D56" i="1"/>
  <c r="C56" i="1"/>
  <c r="B56" i="1"/>
  <c r="A56" i="1"/>
  <c r="I55" i="1"/>
  <c r="H55" i="1"/>
  <c r="G55" i="1"/>
  <c r="F55" i="1"/>
  <c r="E55" i="1"/>
  <c r="D55" i="1"/>
  <c r="C55" i="1"/>
  <c r="B55" i="1"/>
  <c r="A55" i="1"/>
  <c r="I54" i="1"/>
  <c r="H54" i="1"/>
  <c r="G54" i="1"/>
  <c r="F54" i="1"/>
  <c r="E54" i="1"/>
  <c r="D54" i="1"/>
  <c r="C54" i="1"/>
  <c r="B54" i="1"/>
  <c r="A54" i="1"/>
  <c r="I53" i="1"/>
  <c r="H53" i="1"/>
  <c r="G53" i="1"/>
  <c r="F53" i="1"/>
  <c r="E53" i="1"/>
  <c r="D53" i="1"/>
  <c r="C53" i="1"/>
  <c r="B53" i="1"/>
  <c r="A53" i="1"/>
  <c r="I52" i="1"/>
  <c r="H52" i="1"/>
  <c r="G52" i="1"/>
  <c r="F52" i="1"/>
  <c r="E52" i="1"/>
  <c r="D52" i="1"/>
  <c r="C52" i="1"/>
  <c r="B52" i="1"/>
  <c r="A52" i="1"/>
  <c r="I51" i="1"/>
  <c r="H51" i="1"/>
  <c r="G51" i="1"/>
  <c r="F51" i="1"/>
  <c r="E51" i="1"/>
  <c r="D51" i="1"/>
  <c r="C51" i="1"/>
  <c r="B51" i="1"/>
  <c r="A51" i="1"/>
  <c r="I50" i="1"/>
  <c r="H50" i="1"/>
  <c r="G50" i="1"/>
  <c r="F50" i="1"/>
  <c r="E50" i="1"/>
  <c r="D50" i="1"/>
  <c r="C50" i="1"/>
  <c r="B50" i="1"/>
  <c r="A50" i="1"/>
  <c r="I49" i="1"/>
  <c r="H49" i="1"/>
  <c r="G49" i="1"/>
  <c r="F49" i="1"/>
  <c r="E49" i="1"/>
  <c r="D49" i="1"/>
  <c r="C49" i="1"/>
  <c r="B49" i="1"/>
  <c r="A49" i="1"/>
  <c r="I48" i="1"/>
  <c r="H48" i="1"/>
  <c r="G48" i="1"/>
  <c r="F48" i="1"/>
  <c r="E48" i="1"/>
  <c r="D48" i="1"/>
  <c r="C48" i="1"/>
  <c r="B48" i="1"/>
  <c r="A48" i="1"/>
  <c r="I47" i="1"/>
  <c r="H47" i="1"/>
  <c r="G47" i="1"/>
  <c r="F47" i="1"/>
  <c r="E47" i="1"/>
  <c r="D47" i="1"/>
  <c r="C47" i="1"/>
  <c r="B47" i="1"/>
  <c r="A47" i="1"/>
  <c r="I46" i="1"/>
  <c r="H46" i="1"/>
  <c r="G46" i="1"/>
  <c r="F46" i="1"/>
  <c r="E46" i="1"/>
  <c r="D46" i="1"/>
  <c r="C46" i="1"/>
  <c r="B46" i="1"/>
  <c r="A46" i="1"/>
  <c r="I45" i="1"/>
  <c r="H45" i="1"/>
  <c r="G45" i="1"/>
  <c r="F45" i="1"/>
  <c r="E45" i="1"/>
  <c r="D45" i="1"/>
  <c r="C45" i="1"/>
  <c r="B45" i="1"/>
  <c r="A45" i="1"/>
  <c r="I44" i="1"/>
  <c r="H44" i="1"/>
  <c r="G44" i="1"/>
  <c r="F44" i="1"/>
  <c r="E44" i="1"/>
  <c r="D44" i="1"/>
  <c r="C44" i="1"/>
  <c r="B44" i="1"/>
  <c r="A44" i="1"/>
  <c r="I43" i="1"/>
  <c r="H43" i="1"/>
  <c r="G43" i="1"/>
  <c r="F43" i="1"/>
  <c r="E43" i="1"/>
  <c r="D43" i="1"/>
  <c r="C43" i="1"/>
  <c r="B43" i="1"/>
  <c r="A43" i="1"/>
  <c r="I42" i="1"/>
  <c r="H42" i="1"/>
  <c r="G42" i="1"/>
  <c r="F42" i="1"/>
  <c r="E42" i="1"/>
  <c r="D42" i="1"/>
  <c r="C42" i="1"/>
  <c r="B42" i="1"/>
  <c r="A42" i="1"/>
  <c r="I41" i="1"/>
  <c r="H41" i="1"/>
  <c r="G41" i="1"/>
  <c r="F41" i="1"/>
  <c r="E41" i="1"/>
  <c r="D41" i="1"/>
  <c r="C41" i="1"/>
  <c r="B41" i="1"/>
  <c r="A41" i="1"/>
  <c r="I40" i="1"/>
  <c r="H40" i="1"/>
  <c r="G40" i="1"/>
  <c r="F40" i="1"/>
  <c r="E40" i="1"/>
  <c r="D40" i="1"/>
  <c r="C40" i="1"/>
  <c r="B40" i="1"/>
  <c r="A40" i="1"/>
  <c r="I39" i="1"/>
  <c r="H39" i="1"/>
  <c r="G39" i="1"/>
  <c r="F39" i="1"/>
  <c r="E39" i="1"/>
  <c r="D39" i="1"/>
  <c r="C39" i="1"/>
  <c r="B39" i="1"/>
  <c r="A39" i="1"/>
  <c r="I38" i="1"/>
  <c r="H38" i="1"/>
  <c r="G38" i="1"/>
  <c r="F38" i="1"/>
  <c r="E38" i="1"/>
  <c r="D38" i="1"/>
  <c r="C38" i="1"/>
  <c r="B38" i="1"/>
  <c r="A38" i="1"/>
  <c r="I37" i="1"/>
  <c r="H37" i="1"/>
  <c r="G37" i="1"/>
  <c r="F37" i="1"/>
  <c r="E37" i="1"/>
  <c r="D37" i="1"/>
  <c r="C37" i="1"/>
  <c r="B37" i="1"/>
  <c r="A37" i="1"/>
  <c r="I36" i="1"/>
  <c r="H36" i="1"/>
  <c r="G36" i="1"/>
  <c r="F36" i="1"/>
  <c r="E36" i="1"/>
  <c r="D36" i="1"/>
  <c r="C36" i="1"/>
  <c r="B36" i="1"/>
  <c r="A36" i="1"/>
  <c r="I35" i="1"/>
  <c r="H35" i="1"/>
  <c r="G35" i="1"/>
  <c r="F35" i="1"/>
  <c r="E35" i="1"/>
  <c r="D35" i="1"/>
  <c r="C35" i="1"/>
  <c r="B35" i="1"/>
  <c r="A35" i="1"/>
  <c r="I34" i="1"/>
  <c r="H34" i="1"/>
  <c r="G34" i="1"/>
  <c r="F34" i="1"/>
  <c r="E34" i="1"/>
  <c r="D34" i="1"/>
  <c r="C34" i="1"/>
  <c r="B34" i="1"/>
  <c r="A34" i="1"/>
  <c r="I33" i="1"/>
  <c r="H33" i="1"/>
  <c r="G33" i="1"/>
  <c r="F33" i="1"/>
  <c r="E33" i="1"/>
  <c r="D33" i="1"/>
  <c r="C33" i="1"/>
  <c r="B33" i="1"/>
  <c r="A33" i="1"/>
  <c r="I32" i="1"/>
  <c r="H32" i="1"/>
  <c r="G32" i="1"/>
  <c r="F32" i="1"/>
  <c r="E32" i="1"/>
  <c r="D32" i="1"/>
  <c r="C32" i="1"/>
  <c r="B32" i="1"/>
  <c r="A32" i="1"/>
  <c r="I31" i="1"/>
  <c r="H31" i="1"/>
  <c r="G31" i="1"/>
  <c r="F31" i="1"/>
  <c r="E31" i="1"/>
  <c r="D31" i="1"/>
  <c r="C31" i="1"/>
  <c r="B31" i="1"/>
  <c r="A31" i="1"/>
  <c r="I30" i="1"/>
  <c r="H30" i="1"/>
  <c r="G30" i="1"/>
  <c r="F30" i="1"/>
  <c r="E30" i="1"/>
  <c r="D30" i="1"/>
  <c r="C30" i="1"/>
  <c r="B30" i="1"/>
  <c r="A30" i="1"/>
  <c r="I29" i="1"/>
  <c r="H29" i="1"/>
  <c r="G29" i="1"/>
  <c r="F29" i="1"/>
  <c r="E29" i="1"/>
  <c r="D29" i="1"/>
  <c r="C29" i="1"/>
  <c r="B29" i="1"/>
  <c r="A29" i="1"/>
  <c r="I28" i="1"/>
  <c r="H28" i="1"/>
  <c r="G28" i="1"/>
  <c r="F28" i="1"/>
  <c r="E28" i="1"/>
  <c r="D28" i="1"/>
  <c r="C28" i="1"/>
  <c r="B28" i="1"/>
  <c r="A28" i="1"/>
  <c r="I27" i="1"/>
  <c r="H27" i="1"/>
  <c r="G27" i="1"/>
  <c r="F27" i="1"/>
  <c r="E27" i="1"/>
  <c r="D27" i="1"/>
  <c r="C27" i="1"/>
  <c r="B27" i="1"/>
  <c r="A27" i="1"/>
  <c r="I26" i="1"/>
  <c r="H26" i="1"/>
  <c r="G26" i="1"/>
  <c r="F26" i="1"/>
  <c r="E26" i="1"/>
  <c r="D26" i="1"/>
  <c r="C26" i="1"/>
  <c r="B26" i="1"/>
  <c r="A26" i="1"/>
  <c r="I25" i="1"/>
  <c r="H25" i="1"/>
  <c r="G25" i="1"/>
  <c r="F25" i="1"/>
  <c r="E25" i="1"/>
  <c r="D25" i="1"/>
  <c r="C25" i="1"/>
  <c r="B25" i="1"/>
  <c r="A25" i="1"/>
  <c r="I24" i="1"/>
  <c r="H24" i="1"/>
  <c r="G24" i="1"/>
  <c r="F24" i="1"/>
  <c r="E24" i="1"/>
  <c r="D24" i="1"/>
  <c r="C24" i="1"/>
  <c r="B24" i="1"/>
  <c r="A24" i="1"/>
  <c r="I23" i="1"/>
  <c r="H23" i="1"/>
  <c r="G23" i="1"/>
  <c r="F23" i="1"/>
  <c r="E23" i="1"/>
  <c r="D23" i="1"/>
  <c r="C23" i="1"/>
  <c r="B23" i="1"/>
  <c r="A23" i="1"/>
  <c r="I22" i="1"/>
  <c r="H22" i="1"/>
  <c r="G22" i="1"/>
  <c r="F22" i="1"/>
  <c r="E22" i="1"/>
  <c r="D22" i="1"/>
  <c r="C22" i="1"/>
  <c r="B22" i="1"/>
  <c r="A22" i="1"/>
  <c r="I21" i="1"/>
  <c r="H21" i="1"/>
  <c r="G21" i="1"/>
  <c r="F21" i="1"/>
  <c r="E21" i="1"/>
  <c r="D21" i="1"/>
  <c r="C21" i="1"/>
  <c r="B21" i="1"/>
  <c r="A21" i="1"/>
  <c r="I20" i="1"/>
  <c r="H20" i="1"/>
  <c r="G20" i="1"/>
  <c r="F20" i="1"/>
  <c r="E20" i="1"/>
  <c r="D20" i="1"/>
  <c r="C20" i="1"/>
  <c r="B20" i="1"/>
  <c r="A20" i="1"/>
  <c r="I19" i="1"/>
  <c r="H19" i="1"/>
  <c r="G19" i="1"/>
  <c r="F19" i="1"/>
  <c r="E19" i="1"/>
  <c r="D19" i="1"/>
  <c r="C19" i="1"/>
  <c r="B19" i="1"/>
  <c r="A19" i="1"/>
  <c r="I18" i="1"/>
  <c r="H18" i="1"/>
  <c r="G18" i="1"/>
  <c r="F18" i="1"/>
  <c r="E18" i="1"/>
  <c r="D18" i="1"/>
  <c r="C18" i="1"/>
  <c r="B18" i="1"/>
  <c r="A18" i="1"/>
  <c r="I17" i="1"/>
  <c r="H17" i="1"/>
  <c r="G17" i="1"/>
  <c r="F17" i="1"/>
  <c r="E17" i="1"/>
  <c r="D17" i="1"/>
  <c r="C17" i="1"/>
  <c r="B17" i="1"/>
  <c r="A17" i="1"/>
  <c r="I16" i="1"/>
  <c r="H16" i="1"/>
  <c r="G16" i="1"/>
  <c r="F16" i="1"/>
  <c r="E16" i="1"/>
  <c r="D16" i="1"/>
  <c r="C16" i="1"/>
  <c r="B16" i="1"/>
  <c r="A16" i="1"/>
  <c r="I15" i="1"/>
  <c r="H15" i="1"/>
  <c r="G15" i="1"/>
  <c r="F15" i="1"/>
  <c r="E15" i="1"/>
  <c r="D15" i="1"/>
  <c r="C15" i="1"/>
  <c r="B15" i="1"/>
  <c r="A15" i="1"/>
  <c r="I14" i="1"/>
  <c r="H14" i="1"/>
  <c r="G14" i="1"/>
  <c r="F14" i="1"/>
  <c r="E14" i="1"/>
  <c r="D14" i="1"/>
  <c r="C14" i="1"/>
  <c r="B14" i="1"/>
  <c r="A14" i="1"/>
  <c r="I13" i="1"/>
  <c r="H13" i="1"/>
  <c r="G13" i="1"/>
  <c r="F13" i="1"/>
  <c r="E13" i="1"/>
  <c r="D13" i="1"/>
  <c r="C13" i="1"/>
  <c r="B13" i="1"/>
  <c r="A13" i="1"/>
  <c r="I12" i="1"/>
  <c r="H12" i="1"/>
  <c r="G12" i="1"/>
  <c r="F12" i="1"/>
  <c r="E12" i="1"/>
  <c r="D12" i="1"/>
  <c r="C12" i="1"/>
  <c r="B12" i="1"/>
  <c r="A12" i="1"/>
  <c r="K11" i="1"/>
  <c r="I11" i="1"/>
  <c r="H11" i="1"/>
  <c r="G11" i="1"/>
  <c r="F11" i="1"/>
  <c r="E11" i="1"/>
  <c r="D11" i="1"/>
  <c r="C11" i="1"/>
  <c r="B11" i="1"/>
  <c r="A11" i="1"/>
  <c r="I10" i="1"/>
  <c r="H10" i="1"/>
  <c r="G10" i="1"/>
  <c r="F10" i="1"/>
  <c r="E10" i="1"/>
  <c r="D10" i="1"/>
  <c r="C10" i="1"/>
  <c r="B10" i="1"/>
  <c r="A10" i="1"/>
  <c r="L9" i="1"/>
  <c r="I9" i="1"/>
  <c r="H9" i="1"/>
  <c r="G9" i="1"/>
  <c r="F9" i="1"/>
  <c r="E9" i="1"/>
  <c r="D9" i="1"/>
  <c r="C9" i="1"/>
  <c r="B9" i="1"/>
  <c r="A9" i="1"/>
  <c r="L8" i="1"/>
  <c r="I8" i="1"/>
  <c r="H8" i="1"/>
  <c r="G8" i="1"/>
  <c r="F8" i="1"/>
  <c r="E8" i="1"/>
  <c r="D8" i="1"/>
  <c r="C8" i="1"/>
  <c r="B8" i="1"/>
  <c r="A8" i="1"/>
  <c r="L7" i="1"/>
  <c r="I7" i="1"/>
  <c r="H7" i="1"/>
  <c r="G7" i="1"/>
  <c r="F7" i="1"/>
  <c r="E7" i="1"/>
  <c r="D7" i="1"/>
  <c r="C7" i="1"/>
  <c r="B7" i="1"/>
  <c r="A7" i="1"/>
  <c r="L6" i="1"/>
  <c r="I6" i="1"/>
  <c r="H6" i="1"/>
  <c r="G6" i="1"/>
  <c r="F6" i="1"/>
  <c r="E6" i="1"/>
  <c r="D6" i="1"/>
  <c r="C6" i="1"/>
  <c r="B6" i="1"/>
  <c r="A6" i="1"/>
  <c r="L5" i="1"/>
  <c r="I5" i="1"/>
  <c r="H5" i="1"/>
  <c r="G5" i="1"/>
  <c r="F5" i="1"/>
  <c r="E5" i="1"/>
  <c r="D5" i="1"/>
  <c r="C5" i="1"/>
  <c r="B5" i="1"/>
  <c r="A5" i="1"/>
  <c r="A8" i="5" l="1"/>
  <c r="B5" i="5"/>
  <c r="B4" i="5"/>
  <c r="B3" i="5"/>
  <c r="B2" i="5"/>
</calcChain>
</file>

<file path=xl/sharedStrings.xml><?xml version="1.0" encoding="utf-8"?>
<sst xmlns="http://schemas.openxmlformats.org/spreadsheetml/2006/main" count="548" uniqueCount="345">
  <si>
    <t>Teams Invites Tracker — Tech Quick View + PM Showcase</t>
  </si>
  <si>
    <t>Use the left table to scan operations. Use the dropdown on the right to instantly generate a copy/paste Teams invite body.</t>
  </si>
  <si>
    <t>Tech Quick View — Operations Index</t>
  </si>
  <si>
    <t>Copy/Paste Generator — Teams Invite Body</t>
  </si>
  <si>
    <t>Event ID</t>
  </si>
  <si>
    <t>Date</t>
  </si>
  <si>
    <t>Start</t>
  </si>
  <si>
    <t>End</t>
  </si>
  <si>
    <t>Title</t>
  </si>
  <si>
    <t>Location</t>
  </si>
  <si>
    <t>Required</t>
  </si>
  <si>
    <t>Optional</t>
  </si>
  <si>
    <t>Status</t>
  </si>
  <si>
    <t>AP-2026-02-22</t>
  </si>
  <si>
    <t>Time</t>
  </si>
  <si>
    <t>Invite QA</t>
  </si>
  <si>
    <t>Teams Body (copy/paste)</t>
  </si>
  <si>
    <t>(click cell below, Ctrl+A, Ctrl+C)</t>
  </si>
  <si>
    <t>PM Showcase — Evidence Log (add wins as they happen)</t>
  </si>
  <si>
    <t>Quick Stats</t>
  </si>
  <si>
    <t>Total Operations (count)</t>
  </si>
  <si>
    <t>How to use this tab:
1) Techs: use the left index table to find your operation; on the right, pick the Event ID to get a ready-to-paste Teams body.
2) PM brag file: after each operation, add one row in the Evidence Log. Keep it factual: what changed, proof, impact.
Tip: If you add attachments/screenshots, paste the file name or SharePoint link in 'Evidence'.</t>
  </si>
  <si>
    <t>Done</t>
  </si>
  <si>
    <t>Ops marked Done</t>
  </si>
  <si>
    <t>Blocked</t>
  </si>
  <si>
    <t>Ops blocked (needs help)</t>
  </si>
  <si>
    <t>What I led / changed</t>
  </si>
  <si>
    <t>Evidence (link, note, screenshot ref)</t>
  </si>
  <si>
    <t>Impact (time, risk, quality)</t>
  </si>
  <si>
    <t>Next improvement</t>
  </si>
  <si>
    <t>GG-2026-01-30</t>
  </si>
  <si>
    <t>Bugfix: Teams Invite Body returned 'Planned' due to Invite Builder col R (Body) being overwritten/missing formula. Restored Body formula and documented guardrail.</t>
  </si>
  <si>
    <t>Screenshot: PM Showcase Teams Body cell displayed only 'Planned' despite populated Invite Builder fields.</t>
  </si>
  <si>
    <t>Prevents blank/incorrect invites; reduces rework and missed stock details before go-live days.</t>
  </si>
  <si>
    <t>Add guardrail: flag rows where Body is blank or equals a Status picklist value (Planned/In Progress/Blocked/Done). Consider protecting column R.</t>
  </si>
  <si>
    <t>SYSTEM</t>
  </si>
  <si>
    <t>Added web-safe guardrails: Row QA column, dropdown validations, conditional formatting, PM Showcase QA readout, and sheet protection to prevent formula overwrites.</t>
  </si>
  <si>
    <t>See 'System Notes' tab; Invite Builder col V (Row QA) + named ranges (ShowAsList/StatusList/ReminderMinutesList/TimeZoneList).</t>
  </si>
  <si>
    <t>Catches 'Body overwritten' before copy/paste, reduces rework, keeps invites reliable under Web Excel constraints.</t>
  </si>
  <si>
    <t>Start Time</t>
  </si>
  <si>
    <t>End Time</t>
  </si>
  <si>
    <t>Time Zone</t>
  </si>
  <si>
    <t>Required Attendees</t>
  </si>
  <si>
    <t>Optional Attendees</t>
  </si>
  <si>
    <t>Show As</t>
  </si>
  <si>
    <t>Reminder (min)</t>
  </si>
  <si>
    <t>Purpose</t>
  </si>
  <si>
    <t>Stops (in order)</t>
  </si>
  <si>
    <t>Hard Requirements</t>
  </si>
  <si>
    <t>Suggested Timeline</t>
  </si>
  <si>
    <t>Guardrails</t>
  </si>
  <si>
    <t>Completion Signals</t>
  </si>
  <si>
    <t>Body (Teams paste)</t>
  </si>
  <si>
    <t>Checkpoint Log (actuals)</t>
  </si>
  <si>
    <t>Last Updated</t>
  </si>
  <si>
    <t>Row QA (auto)</t>
  </si>
  <si>
    <t>AP-2026-01-08</t>
  </si>
  <si>
    <t>Alejandro - 3HQ Key Drop + HQ Plainview Config + PBMC Prep (1/8)</t>
  </si>
  <si>
    <t>Local</t>
  </si>
  <si>
    <t>Alejandro Perales</t>
  </si>
  <si>
    <t>Ralph (3HQ) ; Khadejah Harrison ; Akbar (if he's the config owner)</t>
  </si>
  <si>
    <t>HQ - Plainview (multi-stop details in agenda)</t>
  </si>
  <si>
    <t>Busy</t>
  </si>
  <si>
    <t>Return universal key; configure and stage devices at HQ Plainview; prep for PBMC deployment; align counts with Khadejah.</t>
  </si>
  <si>
    <t>1) 3HQ - Key drop with Ralph
2) HQ - Plainview - Device configuration + staging
3) PBMC - Deployment prep / readiness</t>
  </si>
  <si>
    <t>- Contact Ralph first thing AM to coordinate key handoff.
- Drop off universal key to Ralph at 3HQ and confirm receipt.
- Head to HQ Plainview ASAP after key drop.
- Configure devices at HQ.
- Stage/pack for PBMC deployment.
- Sync with Khadejah on counts before deployment.</t>
  </si>
  <si>
    <t>- 8:00-8:15  Call/text Ralph; lock handoff details
- 8:15-9:00  3HQ key drop -&gt; confirm receipt
- 9:00-1:00  HQ Plainview: configure devices + verification checks
- 1:00-2:00  Staging/packout for PBMC
- 2:00-2:15  Sync w/ Khadejah: counts + plan
- 2:15+      Travel/prepare for PBMC window</t>
  </si>
  <si>
    <t>- Do not accept extra add-ons without approval; log and escalate.
- If Tim is involved, confirm requirements in advance.</t>
  </si>
  <si>
    <t>- Key returned to Ralph + time
- HQ config complete + device count
- PBMC staging complete + blockers
- Counts aligned with Khadejah + final count</t>
  </si>
  <si>
    <t>Planned</t>
  </si>
  <si>
    <t>KH-2026-01-08</t>
  </si>
  <si>
    <t>Khadejah — Inventory Counts + Locations (1 Marcus + HQ) + Pallets + Arm Attach Doc (1/8)</t>
  </si>
  <si>
    <t>Khadejah Harrison</t>
  </si>
  <si>
    <t>Rich Perez ; Bonita Outlaw</t>
  </si>
  <si>
    <t>HQ + 1 Marcus (multi-stop counts + pallets; details in agenda)</t>
  </si>
  <si>
    <t>Establish reliable counts + exact locations for Neuron deployment stock across HQ and 1 Marcus (including pallets); consolidate into a single master counts interface; produce shortages/blockers + runway for upcoming sites; document the arm→Neuron attach process for reuse.</t>
  </si>
  <si>
    <t>1) HQ - Sweep all staging areas + pallets; log counts + exact locations
2) 1 Marcus - Sweep stock; log counts + exact locations
3) Update Inventory Master - consolidate counts; tag conflicts; timestamp
4) Arm→Neuron attach - capture steps (photos/video) + notes
5) Send EOD summary (totals, shortages, runway, next steps)</t>
  </si>
  <si>
    <t>- Record COUNT + EXACT LOCATION for each line item touched (no vague 'HQ').
- Use location format: [SITE] - [AREA] - [SUBAREA].
- Prioritize Neuron units + GCX arms first; then DIMs/adapters/KBM.
- Tag pallets with a PalletID (P-001, P-002...) and record their contents.
- No guessing: if a count conflicts, mark CONFLICT and note why.
- Keep everything in the master tracker (no side spreadsheets).</t>
  </si>
  <si>
    <t>- 8:00-10:30  HQ sweep (zones + pallets) + initial totals
- 10:30-12:30  1 Marcus sweep + totals
- 12:30-1:30   Update Inventory Master + reconcile conflicts
- 1:30-2:15    Arm→Neuron attach documentation (clean angles)
- 2:15-2:30    Send summary to Rich (HQ vs 1 Marcus totals + blockers + runway)</t>
  </si>
  <si>
    <t>- Don’t move stock without updating location in the master.
- If something is missing/damaged/unknown, log it immediately and flag it.
- Keep photos clear; avoid capturing screens/labels not needed.
- If time runs short, finish Neurons + arms + pallet manifest first.</t>
  </si>
  <si>
    <t>- Master counts updated with HQ vs 1 Marcus totals + exact locations.
- Pallets tagged + recorded (at least Neurons + arms per pallet).
- Shortages/blockers list captured.
- Arm→Neuron attach steps recorded + shared.
- EOD summary sent.</t>
  </si>
  <si>
    <t>IP-2026-01-12</t>
  </si>
  <si>
    <t>iPhone/Rover — Recurring Training Block (Starts Week of 1/12)</t>
  </si>
  <si>
    <t>Emmanuel Sanchez; Ezekiel; Erik Guzman; Julio Mojica; Asher Ali; Valentyn Nykoliuk; Tanjim Khan; Shazaib Idrees; Cyen Heyliger; Connor Hoffman</t>
  </si>
  <si>
    <t>Nayelin Monegro; Rich Perez</t>
  </si>
  <si>
    <t>Training window (no meeting link)</t>
  </si>
  <si>
    <t>Recurring iPhone/Rover shadow training window + Training Log updates; identify knowledge gaps and drive follow-up shadowing.</t>
  </si>
  <si>
    <t>1) Trainee sends mentor availability + site + constraints
2) Mentor confirms capacity + schedules shadow block(s)
3) Shadow block happens
4) Same-day Training Log update (coverage + gaps + next topic)
5) Repeat as needed until well-rounded</t>
  </si>
  <si>
    <t>- Training Log is the source of truth
- Same-day log updates after each shadow block
- Capture knowledge gaps + next recommended topic
- Escalate access/permissions blockers; don’t improvise</t>
  </si>
  <si>
    <t>Week of 1/12: schedule the first shadow blocks early in the week
Ongoing: repeat shadow blocks as needed; Training Log updated same day</t>
  </si>
  <si>
    <t>- No surprise reassignments without notifying the group
- No side chats as the “real plan”
- If blocked by access/permissions, escalate immediately</t>
  </si>
  <si>
    <t>- First shadow block scheduled per trainee
- Training Log updated after each shadow block
- Knowledge gaps logged + follow-up topics assigned</t>
  </si>
  <si>
    <t>iPhone/Rover Shadow Training — Recurring Block (Starts Week of 1/12)
This is a training window, not a meeting. Use this block to schedule and complete shadow sessions. No one needs to join.
What this is:
A recurring training window for iPhone/Rover shadowing + skill-building. Each trainee completes at least 1–2 shadow blocks to start, then continues as needed. Knowledge gaps get logged and tracked.
Mentors:
• Emmanuel Sanchez (Lenox Hill)
• Erik Guzman (PBMC)
• Ezekiel (Staten Island N&amp;S)
Trainees:
• Julio Mojica
• Asher Ali
• Valentyn Nykoliuk
• Tanjim Khan
• Shazaib Idrees
• Cyen Heyliger
• Connor Hoffman
TRAINEES — DO THIS
Send your mentor:
• Two time windows next week you can shadow (and more as needed)
• Your main site
• Any constraints (access issues, hard stop time, etc.)
After each shadow block:
• Update the Training Log the same day (what was covered + knowledge gaps + next topic)
MENTORS — DO THIS
• Tell me how many trainees you can actively support at a time
• Coordinate shadow blocks with those trainees
• Update the Training Log with: Trainee / Mentor / Date-Time / Site / What was covered / Knowledge gaps &amp; blockers / Next recommended topic
RULE
Training Log is the source of truth. No side chats as the “real plan.”</t>
  </si>
  <si>
    <t>MV-2026-01-11</t>
  </si>
  <si>
    <t>LIJ SDF Sunday — Transport + Pack-Out (Marvin Lead) — 28 all around</t>
  </si>
  <si>
    <t>Marvin Tate</t>
  </si>
  <si>
    <t>Rich Perez; Bonita Outlaw</t>
  </si>
  <si>
    <t>Stock staging room → LIJ SDF</t>
  </si>
  <si>
    <t>Move the correct stock to LIJ SDF for Sunday’s work; keep staging controlled; pack out everything we bring in so LIJ SDF returns to pre-arrival condition. Key rule: 28 all around (28 capsules + 28 of each required cable/cord type).</t>
  </si>
  <si>
    <t>1) Staging room (pull / count / organize)
2) Load vehicle
3) LIJ SDF (deliver staged stock)
4) End-of-day pack-out + close-out proof</t>
  </si>
  <si>
    <t>• Confirm exact item list for Sunday (capsules + cables/cords + accessories)
• Pull &amp; stage: 28 capsules (7 boxes × 4)
• Pull &amp; stage: 28 Ethernet cables
• Pull &amp; stage: 28 power cords
• Pull &amp; stage: 28 of any other required cable/cord type (default to 28 unless PM specifies otherwise)
• HQ path: if mounts/arms are delivered separately, pack out all packaging + unused materials
• Keep stock orderly: stack by category; labels facing out; pallet jack accessible
• Keep walking/loading path clear (no loose cables/garbage)
• Take quick photo of staged load before moving out
• Load securely (heavy bottom; protect fragile; prevent shifting)
• Pack-out rules: remove all packaging created + all unused stock; keep device/capsule shipping boxes
• Damaged/questionable items: bag/tag + bring back (no trashing devices/cables)
• Final walk-through: floors clear; carts/pallets out; nothing left behind</t>
  </si>
  <si>
    <t>Before move:
• Stage by category, count to 28, photo the staged load
• Load + secure
At site / end-of-day:
• Pack out all packaging + unused stock
• Take 2 close-out photos: (1) empty staging footprint at LIJ SDF, (2) load-out/packed carts ready to leave
• Note any exceptions + who approved</t>
  </si>
  <si>
    <t>“Disposal” = pack out everything we bring in so LIJ SDF is as it was before we arrived.
Trash/packaging only. Never devices/cables. Keep device/capsule shipping boxes.
Do not leave extra stock behind unless explicitly approved; document approvals.</t>
  </si>
  <si>
    <t>• 28-count confirmed for capsules + each cable/cord type
• Staged-load photo captured
• Site packed out (no trash/packaging left) + 2 close-out photos taken
• Any exceptions documented with approver</t>
  </si>
  <si>
    <t>Patricia — iPhone/Rover — Recurring Training Block (Starts Week of 1/21)</t>
  </si>
  <si>
    <t>Patricia Marrero</t>
  </si>
  <si>
    <t>Rich Perez; Josh Vincent</t>
  </si>
  <si>
    <t>LHH and the Northern Westchester Area</t>
  </si>
  <si>
    <t xml:space="preserve">• Train on iPhones and Mobile Devices
• Avoid conflicts with other projects, particularly TOW
• Increase the Volume and Integrity of Coverage in the Westchester area </t>
  </si>
  <si>
    <t>• LHH and the Northern Westchester Area
• Clarify with Mentors</t>
  </si>
  <si>
    <t>• Correspond with Mentors
• Train under mentors
• Establish sites to cover with Eman, Connor, and Clifford</t>
  </si>
  <si>
    <t>Recurring until Friday, Feb 6</t>
  </si>
  <si>
    <t>• No conflicts with DSE and TOW
• Avoid TOW and DSE conflicts</t>
  </si>
  <si>
    <t>• No conflicts with DSE and TOW
• Correspondence with Mentors in Effect
• Training log updated with updated knowledge gaps</t>
  </si>
  <si>
    <t>MEETH — Stock Delivery (Marvin Lead)</t>
  </si>
  <si>
    <t>MEETH</t>
  </si>
  <si>
    <t>Deliver critical MEETH stock (QTY 2 each) and confirm clean handoff so the site can proceed without delays.</t>
  </si>
  <si>
    <t>1) HQ stock room / staging (pull + verify)
2) Load vehicle (secure)
3) MEETH (deliver + handoff)
4) Return / close-out (update counts + note exceptions)</t>
  </si>
  <si>
    <t>☐ Pick up required items directly from Geoff Gerber
☐ Verify all five SKUs are present (2 each)
☐ Keep items grouped and labeled for MEETH
☐ Photo staged items before loading
☐ Coordinate onsite handoff; record recipient name/area
☐ Photo delivery/handoff confirmation
☐ If missing/damaged: bag/tag + escalate immediately
• Pull + verify the following stock (QTY 2 each):
  • B1-CPAT-DIM-14 — 2
  • DIM — 2
  • B1-CFU — 2
  • SPEC999015 — 2
  • GE-ADAPTOR — 2
• Keep items grouped + labeled for MEETH (no mixed piles)
• Take a quick photo of the staged items before loading (proof + reference)
• Coordinate onsite handoff (recipient name/area) and confirm delivery complete
• If anything is missing/damaged: bag/tag and escalate immediately (do not substitute silently)</t>
  </si>
  <si>
    <t>Before departure: pull + verify + photo.
At MEETH: handoff + confirm recipient.
After: update tracker / notes with any exceptions.</t>
  </si>
  <si>
    <t>This is a controlled delivery. No improvising part substitutions without approval. Keep packaging tidy; prevent damage in transit.</t>
  </si>
  <si>
    <t>All five SKUs delivered (2 each), recipient confirmed, and staging/delivery photo captured. Exceptions logged if any.</t>
  </si>
  <si>
    <t>Glen Cove — OR/Endo Cybernet Peripherals Install (9 KB+Mouse, 9 Badge Readers, 9 Barcode Scanners)</t>
  </si>
  <si>
    <t>Khadejah Harrison; CDW Resource (TBD)</t>
  </si>
  <si>
    <t>Timothy Seeberger</t>
  </si>
  <si>
    <t>Glen Cove Hospital — OR &amp; Endo (Cybernet)</t>
  </si>
  <si>
    <t>Install and validate 9 wired keyboard/mouse sets, 9 badge access readers, and 9 barcode scanners; connect all peripherals to the Cybernet in OR and Endo.</t>
  </si>
  <si>
    <t>1) 3HQ (as needed): confirm delivery/availability of 9 cables for Glen Cove | 2) Glen Cove — OR: install/connect/test peripherals on Cybernet | 3) Glen Cove — Endo: install/connect/test peripherals on Cybernet | 4) Close-out: photos (no PHI) + confirm counts + send completion note</t>
  </si>
  <si>
    <t>Verify inventory (9 KB+Mouse, 9 Badge Readers, 9 Barcode Scanners; plus 9 cables if applicable) | Install + connect to correct Cybernet(s) in OR &amp; Endo | Test: keyboard/mouse input, badge read, barcode scan | Escalate blockers immediately (ports/driver/access) | No silent substitutions</t>
  </si>
  <si>
    <t>Before: confirm stock/cables at 3HQ if needed | Onsite: OR first, then Endo | End: confirm with site POC + send completion update</t>
  </si>
  <si>
    <t>No PHI in photos | Keep cabling tidy/secured | Same-day escalation on blockers; coordinate access with site IT as needed</t>
  </si>
  <si>
    <t>All 27 peripherals installed + tested in OR/Endo | Exceptions logged with owner/next step | Completion update sent</t>
  </si>
  <si>
    <t>Cybernet Deployment + iPad Go-Live Support (Senior + Shadow)</t>
  </si>
  <si>
    <t>Geoff Gerber; Chris Cummings</t>
  </si>
  <si>
    <t>Rich Perez</t>
  </si>
  <si>
    <t>Client Site — Cybernet Go-Live</t>
  </si>
  <si>
    <t>Deploy Cybernets and provide all-day go-live support. Client paid for 1 senior tech (Geoff) with 1 shadow tech (Chris Cummings). Stock: Geoff to have 2 Cybernets. iPad: already delivered last Friday.</t>
  </si>
  <si>
    <t>1) HQ/warehouse (if needed): pull/verify 2 Cybernets for Geoff (asset tags/serials recorded). 2) Client site: confirm iPad onsite, deploy Cybernets, provide go-live support all day. 3) End-of-day: document issues + send completion note.</t>
  </si>
  <si>
    <t>• Geoff must have 2 Cybernets ready for deployment • iPad is already onsite (verify on arrival) • Chris shadows Geoff the full day • Log go-live issues + escalate blockers immediately</t>
  </si>
  <si>
    <t>AM: arrival + verify iPad + deploy Cybernets. Midday: stabilize + support go-live flow. PM: mop-up issues + handoff + send summary.</t>
  </si>
  <si>
    <t>No PHI in notes/photos. No silent substitutions. Escalate blockers same-day and document owners/next steps.</t>
  </si>
  <si>
    <t>2 Cybernets deployed/validated. Go-live support delivered all day. Issues/next steps logged. Completion update sent.</t>
  </si>
  <si>
    <t>CFAM — Deployment Support (One-Day Push)</t>
  </si>
  <si>
    <t>Asher Ali; Alejandro Pelales; Delroy Harris</t>
  </si>
  <si>
    <t>CFAM (Center for Advanced Medicine)</t>
  </si>
  <si>
    <t>Extra deployment coverage at CFAM to complete the work in one day (9–5). Focus: throughput, troubleshooting, and clean handoff.</t>
  </si>
  <si>
    <t>1) 09:00 kickoff + scope check; 2) Stage devices + verify ready state; 3) Deploy + validate as you go; 4) Triage issues + escalate blockers fast; 5) 16:30 final sweep + handoff notes; 6) 17:00 exit</t>
  </si>
  <si>
    <t>Full 9–5 coverage; keep tracker updates current; call out blockers early; document exceptions; leave the site clean.</t>
  </si>
  <si>
    <t>09:00 kickoff; 09:15 staging; 10:00 deployments rolling; 15:30 start final sweep; 16:30 handoff notes; 17:00 wrap</t>
  </si>
  <si>
    <t>No improvising scope changes; escalate access/permissions immediately; protect clinical areas; keep footprint minimal; avoid bottlenecks by working in parallel.</t>
  </si>
  <si>
    <t>All assigned devices deployed + validated; exceptions logged with owner/next step; handoff notes sent same day.</t>
  </si>
  <si>
    <t>LIJ SDF - Satellite Dialysis Facility - Testing Oversight (Noon-1) + Possible Cat6 Relay</t>
  </si>
  <si>
    <t>LIJ SDF - Satellite Dialysis Facility</t>
  </si>
  <si>
    <t>Oversee testing support at LIJ SDF (testing window 12:00-1:00) and capture outcomes; relay up to 25 x 25-ft Cat6 cables if requested.</t>
  </si>
  <si>
    <t>1) Check in with site POC + confirm testing station(s) | 2) Observe testing (12:00-1:00) + capture pass/fail/issues | 3) If requested: pull/relay 25 x 25-ft Cat6 to designated drop location | 4) Send completion note (testing results + any cable relay details)</t>
  </si>
  <si>
    <t>Arrive by 11:00 for setup/coordination | Document testing results (what passed/failed + owner/next step) | If Cat6 relay happens: verify count (25) and record destination | No PHI in notes/photos | Escalate blockers same-day</t>
  </si>
  <si>
    <t>11:00 arrive + scope check | 12:00 testing start | 12:45 pre-wrap + confirm any cable request | 13:00 wrap + send update</t>
  </si>
  <si>
    <t>Keep footprint minimal in clinical areas | No PHI in notes/photos | If asked to move cables, confirm receiver + drop location before transport | Escalate access/permissions immediately</t>
  </si>
  <si>
    <t>Testing observed and results captured | Issues logged with owner/next step | If Cat6 relay requested: count + destination documented | Completion update sent</t>
  </si>
  <si>
    <t>Franklin Hospital (Valley Stream) - Peripheral Deployment (10 units)</t>
  </si>
  <si>
    <t>Marvin Tate; Khadejah Harrison</t>
  </si>
  <si>
    <t>Franklin Hospital - Valley Stream</t>
  </si>
  <si>
    <t>Deploy and validate 10 peripherals (barcode scanner(s), badge scanner(s), mouse, keyboard) at Franklin Hospital Valley Stream.</t>
  </si>
  <si>
    <t>1) Check in + confirm target stations/rooms | 2) Stage peripherals + verify total count (10) | 3) Install/connect + functional test each unit as you go | 4) Label/asset-tag as required | 5) Close-out: confirm counts + document placements/exceptions + send completion note</t>
  </si>
  <si>
    <t>Verify inventory count before leaving/onsite (10 total) | Test each peripheral immediately (badge read, barcode scan, keyboard/mouse input) | Keep cabling tidy | Log exceptions with owner/next step | No silent substitutions</t>
  </si>
  <si>
    <t>17:00 kickoff + station list | 17:15 staging | 17:30 installs rolling | 19:30 final sweep + issue triage | 20:00 wrap + send update (end time may flex if needed)</t>
  </si>
  <si>
    <t>No PHI in notes/photos | Escalate port/driver/access blockers immediately | Keep footprint minimal and area clean | Avoid half-finished stations; finish and validate before moving on</t>
  </si>
  <si>
    <t>10 peripherals installed + tested | Exceptions logged with owner/next step | Completion update sent</t>
  </si>
  <si>
    <t>LIJVS — Device Integration Install/Testing (W2)</t>
  </si>
  <si>
    <t>Khadejah Harrison; Marvin Tate</t>
  </si>
  <si>
    <t>Richard Perez; Tim Seeberger</t>
  </si>
  <si>
    <t>LIJ Valley Stream</t>
  </si>
  <si>
    <t>Device Integration install/testing. Standard deployment kit applies. Endo MX550 requires MIB card (confirm qty).</t>
  </si>
  <si>
    <t>CCMC — Cybernet Deployment + iPro + OU Config (14 units) — ONE location</t>
  </si>
  <si>
    <t>Alejandro Perales; Chris Cummings; Nicholas Valentin</t>
  </si>
  <si>
    <t>Rich Perez; Tim Seeberger</t>
  </si>
  <si>
    <t>CCMC</t>
  </si>
  <si>
    <t>Deploy 14 Cybernets at CCMC (ONE location) with GCX arms + peripherals; complete iPro installs and OU/group alignment.</t>
  </si>
  <si>
    <t>1) Stage 14 Cybernets + peripherals + GCX arms  2) Confirm ONE location with site POC  3) Remove/replace legacy PCs as needed  4) Install GCX arms + mount Cybernets  5) Install iPro  6) Apply OU/group alignment  7) Validate badge + barcode + connectivity  8) Label/cable-manage  9) Clean-up + prep disposal pile</t>
  </si>
  <si>
    <t>• 14 Anesthesia Machines Upgraded with New Cybernets &amp; Peripherals
• 14 Anesthesia Machine Deployments Documented in the tracker
• Clarify the disposal path with Tim (1 Marcus until they give us permission to discard or allocate somewhere)</t>
  </si>
  <si>
    <t>• Activate PA Creds ahead of deployment</t>
  </si>
  <si>
    <t>Devices Documented and Tested</t>
  </si>
  <si>
    <t>CCMC — HQ → Site Delivery (14 Cybernets + Peripherals) — Marvin</t>
  </si>
  <si>
    <t>Richard Perez</t>
  </si>
  <si>
    <t>HQ → CCMC</t>
  </si>
  <si>
    <t>Deliver 13 Cybernets + peripherals from HQ to CCMC. Confirm staging location and handoff POC on arrival.</t>
  </si>
  <si>
    <t>Confirm vehicle/transport; confirm receiving contact; confirm inventory count (14).</t>
  </si>
  <si>
    <t>CCMC — Site Disposal (Post-Deployment) — Marvin Lead</t>
  </si>
  <si>
    <t>Dispose of all deployment-related materials at CCMC: existing PCs, existing PC arms, and all boxes/trash from newly deployed equipment.</t>
  </si>
  <si>
    <t>1) Identify disposal area + confirm with site POC  2) Remove existing PCs  3) Remove existing arms  4) Consolidate all boxes/trash from new gear  5) Dispose per site process  6) Confirm area left clean + take quick photo evidence (optional)</t>
  </si>
  <si>
    <t>• All Extras and Scraps removed from CCMC
• Clarify where to move the stock with Tim (1 Marcus until they give us permission to discard or allocate somewhere)</t>
  </si>
  <si>
    <t>Photograph Clean Deployment Areas</t>
  </si>
  <si>
    <t>LIJ ORs - Cybernet + GCX Arm Deployment (Day 1 of 2)</t>
  </si>
  <si>
    <t>Alejandro Perales; Patricia Marrero; Valentyn Nykoliuk; Marvin Tate</t>
  </si>
  <si>
    <t>LIJ Main - OR Suite</t>
  </si>
  <si>
    <t>Deploy/validate LIJ ORs (weekend block; 29 devices total across 2 days). FIRST ACTION: activate PA creds for all techs before deployments. Install Cybernet + GCX arms + peripherals (mouse, keyboard, badge reader, barcode scanner). Update trackers live as we go; log exceptions in real time.</t>
  </si>
  <si>
    <t>1) 08:00 kickoff + scope confirmation 2) PA creds activation (everyone) + quick verification 3) Stage carts/devices + verify ready state 4) ORs first: deploy + mount + cable-manage 5) Validate badge/barcode/connectivity per device 6) Update trackers continuously + log exceptions + owners 7) 17:30 final sweep + handoff notes</t>
  </si>
  <si>
    <t>Bring standard baseline stock: disposal supplies, cabling/labeling, Cybernets, keyboard/mouse, badge reader test, barcode scanner test, 25-ft Cat6, breakaway adapter, GCX arm parts; PA creds must be activated/working before deployment starts; tracker access confirmed.</t>
  </si>
  <si>
    <t>08:00 kickoff; 08:10 PA creds activation; 08:20 staging; 09:00 deployments rolling; 16:30 start final sweep; 17:30 handoff notes; 18:00 wrap</t>
  </si>
  <si>
    <t>No scope creep; protect clinical areas; minimal footprint; escalate access/permissions blockers immediately; update trackers as work is performed (not later); document every exception with owner + next step.</t>
  </si>
  <si>
    <t>PA creds active for all techs; assigned devices deployed + validated; tracker reflects reality throughout the day; exceptions logged with owner/next step; same-day handoff notes sent.</t>
  </si>
  <si>
    <t>LIJ ORs - Cybernet + GCX Arm Deployment (Day 2 of 2)</t>
  </si>
  <si>
    <t>Alejandro Perales; Chris Cummings; Patricia Marrero; Delroy Harris; Valentyn Nykoliuk</t>
  </si>
  <si>
    <t>Continue LIJ ORs deployment/testing. FIRST ACTION: confirm PA creds still working (or re-activate if needed). Same standards: GCX arms + peripherals installed; validate badge/barcode/connectivity; trackers stay live; close out open issues from Day 1.</t>
  </si>
  <si>
    <t>1) 08:00 kickoff + review Day 1 exceptions 2) Confirm PA creds active + quick verification 3) Stage remaining devices/parts 4) Complete remaining ORs first 5) Re-test any problem rooms 6) Update trackers continuously + resolve/escalate exceptions 7) Consolidate disposal pile + label clearly 8) 17:30 final sweep + handoff notes</t>
  </si>
  <si>
    <t>Zero “we’ll fix it later” devices left in service. PA creds verified before work begins. Any blocker gets an owner + next action logged before wrap. Tracker stays current throughout execution.</t>
  </si>
  <si>
    <t>08:00 kickoff; 08:10 PA creds verification; 08:20 staging; 09:00 deployments rolling; 15:30 begin closeout/retests; 17:30 handoff notes; 18:00 wrap</t>
  </si>
  <si>
    <t>No improvising changes; keep OR sequence disciplined; escalate access/port issues immediately; keep cabling clean and standardized; update trackers as we go so status is always current.</t>
  </si>
  <si>
    <t>PA creds verified; all remaining assigned devices deployed + validated; Day 1 issues resolved or owned; tracker current; closeout notes sent.</t>
  </si>
  <si>
    <t>LIJ - Deployment Kit Delivery + Staging (Day 1 of 2)</t>
  </si>
  <si>
    <t>Deployment Delivery; Marvin Tate; Alejandro Perales</t>
  </si>
  <si>
    <t>LIJ Main - Procedural Areas + Annex</t>
  </si>
  <si>
    <t>Deliver and stage everything needed for the weekend deployment (13 procedural devices + 3 annex). Confirm counts, label/stage by area, and clear access blockers early.</t>
  </si>
  <si>
    <t>1) Pickup/pack check (kits, peripherals, labels) 2) Transport to LIJ 3) Stage procedural-area kits (13) 4) Stage annex kits (3) 5) Verify inventory against picklist 6) Identify + log blockers (missing parts, access, storage) 7) End-of-day handoff notes</t>
  </si>
  <si>
    <t>All deployment kits (devices, arms, cables/peripherals), printed picklists, labels/tape, carts, access/keys, storage/staging space confirmed, tracker updated in real time.</t>
  </si>
  <si>
    <t>09:00 kickoff + loadout; 10:30 arrive LIJ + staging begins; 12:30 inventory checkpoint; 15:30 re-check counts + label sweep; 16:45 handoff notes + blocker escalation; 17:00 wrap.</t>
  </si>
  <si>
    <t>No surprises on Saturday: if something is missing or access is blocked, escalate same day. Keep procedural vs annex kits separated and labeled. Update tracker as you go.</t>
  </si>
  <si>
    <t>All items delivered + staged; kits labeled by area (13 procedural / 3 annex); discrepancies logged with owners + next actions; tracker reflects reality.</t>
  </si>
  <si>
    <t>LIJ - Deployment Kit Delivery + Staging (Day 2 of 2)</t>
  </si>
  <si>
    <t>Finalize staging, resolve gaps from Day 1, and confirm Saturday go-live readiness (parts, access, storage, and area readiness).</t>
  </si>
  <si>
    <t>1) Review Day 1 discrepancies 2) Deliver remaining items 3) Re-verify staged kits (procedural + annex) 4) Confirm access + storage plan for weekend 5) Final label/organization sweep 6) Confirm kickoff logistics for Saturday 7) Handoff notes</t>
  </si>
  <si>
    <t>Open discrepancy list from Day 1, any missing parts, confirmed access badges/permissions, updated tracker, weekend contact list.</t>
  </si>
  <si>
    <t>09:00 kickoff + discrepancy triage; 10:30 deliver remaining items; 12:00 full recount checkpoint; 15:30 final staging sweep; 16:30 confirm Saturday kickoff + comms; 17:00 wrap.</t>
  </si>
  <si>
    <t>If a blocker survives Friday, it will bite on Saturday. Escalate early. Keep kits sealed/organized after verification.</t>
  </si>
  <si>
    <t>All discrepancies resolved or owned; kits staged + verified; Saturday kickoff plan confirmed; tracker current.</t>
  </si>
  <si>
    <t>LIJ Main - Procedural Areas</t>
  </si>
  <si>
    <t>Deploy and validate devices in LIJ procedural areas (target: 13). First action: confirm PA creds/access for all techs before touching anything.</t>
  </si>
  <si>
    <t>1) 08:00 kickoff + scope confirm 2) Confirm PA creds active + quick verification 3) Stage devices/parts by room 4) Deploy in waves; validate peripherals + connectivity 5) Update tracker continuously 6) Resolve/escalate exceptions 7) End-of-day sweep + handoff notes</t>
  </si>
  <si>
    <t>PA creds verified, deployment kits staged, barcode/badge readers tested, network/connectivity validated, trackers ready, room access confirmed.</t>
  </si>
  <si>
    <t>08:00 kickoff; 08:15 PA cred verification; 08:30 staging; 09:00 deployments rolling; 12:30 checkpoint; 16:30 start sweep; 17:30 handoff notes; 18:00 wrap.</t>
  </si>
  <si>
    <t>No scope creep. Keep tracker honest. Escalate access/permissions blockers immediately. Separate ‘done’ vs ‘needs follow-up’.</t>
  </si>
  <si>
    <t>Procedural-area deployments complete/validated (13 target); tracker accurate; exceptions logged with owners + next actions; clean handoff.</t>
  </si>
  <si>
    <t>LIJ Main - Annex Area</t>
  </si>
  <si>
    <t>Complete remaining deployments and validation, with focus on annex devices (target: 3) plus final hospital-wide sweep and closeout.</t>
  </si>
  <si>
    <t>1) 08:00 kickoff + review Day 1 exceptions 2) Confirm PA creds/access 3) Deploy/validate annex devices (3 target) 4) Re-validate any Day 1 follow-ups 5) Final sweep + reconcile tracker 6) Consolidate disposal/returns 7) Handoff notes + closeout</t>
  </si>
  <si>
    <t>Annex access confirmed, remaining kits staged, exception list from Day 1, tracker current, packing materials for returns/disposal.</t>
  </si>
  <si>
    <t>08:00 kickoff; 08:15 review exceptions; 09:00 annex deployments; 12:30 checkpoint; 15:30 reconcile + sweep; 17:30 handoff notes; 18:00 wrap.</t>
  </si>
  <si>
    <t>Close loops, don’t create new ones. Keep annex vs procedural records separate. Tracker stays current.</t>
  </si>
  <si>
    <t>Annex deployments complete/validated (3 target); all exceptions owned; tracker reconciled; final closeout notes delivered.</t>
  </si>
  <si>
    <t>LIJ SDF - Neuron Capsule Variable Testing</t>
  </si>
  <si>
    <t>Neuron Capsules; LIJ SDF Tech</t>
  </si>
  <si>
    <t>Jay Hernandez; Rich Perez</t>
  </si>
  <si>
    <t>Test variables on neuron capsules at LIJ SDF. Tech arrives early for setup; testing starts 11:00; capture results + next actions before wrap.</t>
  </si>
  <si>
    <t>1) 10:30 arrival + setup/check-in 2) 11:00 start testing per test plan 3) Log results/observations as you go 4) Midpoint checkpoint + adjust 5) Wrap-up: summarize findings + next steps 6) Clean handoff and secure equipment</t>
  </si>
  <si>
    <t>Capsules + peripherals, test plan, logging template, access confirmed, any required credentials, spare cables/batteries.</t>
  </si>
  <si>
    <t>10:30 setup; 11:00 testing start; 12:30 checkpoint; 14:30 consolidate notes; 15:00 wrap.</t>
  </si>
  <si>
    <t>No ad-hoc changes without logging. Keep a clear chain of custody for devices. Escalate any safety/clinical access issues immediately.</t>
  </si>
  <si>
    <t>Tested planned variables; results logged; follow-ups assigned; equipment accounted for.</t>
  </si>
  <si>
    <t>LIJ - iPhones Team Coverage (Patricia Marrero onsite)</t>
  </si>
  <si>
    <t>Nicholas Valentin (remote); Jay Hernandez</t>
  </si>
  <si>
    <t>LIJ</t>
  </si>
  <si>
    <t>Coverage for Jay Hernandez at LIJ. Nicholas Valentin provides remote support today as needed.</t>
  </si>
  <si>
    <t>1) AM check-in with Jay/Hospital stakeholders 2) Cover tickets/issues 3) Document handoffs 4) EOD status update</t>
  </si>
  <si>
    <t>Access/credentials, ticket queue access, contact list, escalation path.</t>
  </si>
  <si>
    <t>08:00 check-in; 12:00 midpoint status; 16:30 handoff notes; 17:00 wrap.</t>
  </si>
  <si>
    <t>Escalate blockers early; keep notes crisp; ensure handoff continuity.</t>
  </si>
  <si>
    <t>Coverage provided; issues progressed/resolved; handoff notes posted.</t>
  </si>
  <si>
    <t>LIJ - iPhones Team Coverage (Cyen Heyliger onsite)</t>
  </si>
  <si>
    <t>Cyen Heyliger</t>
  </si>
  <si>
    <t>Jay Hernandez</t>
  </si>
  <si>
    <t>Coverage for Jay Hernandez at LIJ.</t>
  </si>
  <si>
    <t>1) AM check-in 2) Cover tickets/issues 3) Document handoffs 4) EOD status update</t>
  </si>
  <si>
    <t>Access/credentials, ticket queue access, contact list.</t>
  </si>
  <si>
    <t>Keep handoffs tight; escalate blockers early.</t>
  </si>
  <si>
    <t>Coverage provided; handoff notes posted.</t>
  </si>
  <si>
    <t>end</t>
  </si>
  <si>
    <t>#</t>
  </si>
  <si>
    <t>Workstream / Thread</t>
  </si>
  <si>
    <t>Subject</t>
  </si>
  <si>
    <t>Waiting on</t>
  </si>
  <si>
    <t>Next move</t>
  </si>
  <si>
    <t>Glen Cove W2 MIB Cards / DS8178 Programming + Epic Validation</t>
  </si>
  <si>
    <t>RE: Glen Cove Hsp W2 MIB Cards PO 7025040707 - Monday, 1/26 and Tuesday, 1/27 Installation</t>
  </si>
  <si>
    <t>Thank Akbar, validate his one-pager, quietly add your expanded companion guide, set an update loop</t>
  </si>
  <si>
    <t>SENT (per your note)</t>
  </si>
  <si>
    <t>Any corrections/updates to Akbar’s 1-pager</t>
  </si>
  <si>
    <t>If no response but field issues appear, reply with the specific symptom + point to the relevant section of your companion guide</t>
  </si>
  <si>
    <t>REQ1282033 — SIUH Anesthesia Carts / Serial Cables (SPEC999015)</t>
  </si>
  <si>
    <t>REQ1282033 (SIUH) — Serial cable requirement + procurement next steps (SPEC999015)</t>
  </si>
  <si>
    <t>Lock: swap vs addition, final qty (2 vs 4), procurement owner, ship-to, needed-by</t>
  </si>
  <si>
    <t>DRAFTED</t>
  </si>
  <si>
    <t>Tim/Steve/Mohamed/Akbar confirmation</t>
  </si>
  <si>
    <t>Send. Then track: qty, quote owner, requisition owner, ETA, delivery confirmation</t>
  </si>
  <si>
    <t>Epic Beans Device Type Test — CDW Tech Onsite (SDF)</t>
  </si>
  <si>
    <t>Epic Beans Device Type Test (SDF) — Confirm readiness, roles, and pass/fail plan for Mon 1/26 12:00–2:30</t>
  </si>
  <si>
    <t>Convert invite into an executable test plan: pass/fail owner + rollback owner</t>
  </si>
  <si>
    <t>Epic point person + rollback owner confirmation</t>
  </si>
  <si>
    <t>Send. Then add a one-line “go/no-go” confirmation request morning-of</t>
  </si>
  <si>
    <t>LIJ Cybernet — 80 units (scope mapping)</t>
  </si>
  <si>
    <t>LIJ Cybernet (80) — Facility mapping + wave counts needed to stage correctly (due 02/06)</t>
  </si>
  <si>
    <t>Force “LIJ” into facility mapping + qty per wave + neuron scope clarity</t>
  </si>
  <si>
    <t>Tim confirmation on LIJ mapping + wave quantities</t>
  </si>
  <si>
    <t>Send. Then update your tracker with mapping IDs (LIJMC-NHP vs LIJ-VS vs LIJ-FH etc.)</t>
  </si>
  <si>
    <t>Field</t>
  </si>
  <si>
    <t>Drop-in</t>
  </si>
  <si>
    <t>Required attendees</t>
  </si>
  <si>
    <t>Optional attendees</t>
  </si>
  <si>
    <t>Start / End</t>
  </si>
  <si>
    <t>9:00 AM – 6:00 PM (Mon–Fri) — recurring starting 1/12</t>
  </si>
  <si>
    <t>Show as</t>
  </si>
  <si>
    <t>Reminder</t>
  </si>
  <si>
    <t>30 minutes</t>
  </si>
  <si>
    <t>Description / Body</t>
  </si>
  <si>
    <t>Checkpoints / Completion signals</t>
  </si>
  <si>
    <t>• Trainee/mentor connections made and first shadow block scheduled
• Training Log updated same day after each shadow block
• Knowledge gaps captured and follow-up topics assigned</t>
  </si>
  <si>
    <t>8:00 AM – 5:00 PM (adjust to your real hours)</t>
  </si>
  <si>
    <t>HQ + 1 Marcus (multi-stop; see agenda)</t>
  </si>
  <si>
    <t xml:space="preserve">Objective
- Establish a single reliable view of what we have and where it is (HQ + 1 Marcus), including pallet stock, so we can forecast deployment trajectory.
To-Do (checklist)
☐ Start in HQ: sweep all staging zones + pallets; log COUNT + EXACT LOCATION for each item (prioritize Neurons + arms first)
☐ Tag pallets as P-001 / P-002 / … and record contents (at least Neurons + arms per pallet)
☐ Repeat the same sweep at 1 Marcus; log counts + exact locations
☐ Update Inventory Master (single source of truth): consolidate counts; mark CONFLICTs; timestamp LastCounted + CountedBy
☐ Arm→Neuron attach: capture steps (clean angles) + note any tools/hardware required
☐ Send EOD summary to Rich: HQ vs 1 Marcus totals, pallet status, shortages/blockers, runway for upcoming sites
Location format (use exactly)
[SITE] - [AREA] - [SUBAREA]
Example: HQ - Config Desks - Under Desk Row A
Guardrails
- No guessing. If unsure, mark UNKNOWN/CONFLICT and note why.
- Don’t move stock without updating its location in the master.
</t>
  </si>
  <si>
    <t>Counts + locations captured for HQ and 1 Marcus (Neurons + arms minimum)
Pallets tagged + recorded
Inventory Master updated + timestamped
Arm attach steps captured + shared
EOD summary sent to Rich</t>
  </si>
  <si>
    <t>Alejandro — 3HQ Key Drop + HQ Plainview Config + PBMC Prep (1/8)</t>
  </si>
  <si>
    <t>Ralph (3HQ) ; Khadejah Harrison ; Akbar (if he’s the config owner)</t>
  </si>
  <si>
    <t>HQ — Plainview (multi-stop details in agenda)</t>
  </si>
  <si>
    <t xml:space="preserve">Purpose
- Execute the 1/8 run: return universal key, configure devices at HQ Plainview, stage for PBMC deployment readiness, and align counts with Khadejah.
Stops (in order)
1) 3HQ - Key drop with Ralph
2) HQ - Plainview - Device configuration + staging
3) PBMC - Deployment prep / readiness
To-Do (hard requirements)
- Contact Ralph first thing AM to coordinate key handoff (time + exact meetup spot).
- Drop off universal key to Ralph at 3HQ and confirm receipt.
- Head to HQ Plainview ASAP after key drop.
- Configure devices at HQ (confirm which units require config vs already prepped).
- Stage/pack for PBMC deployment (devices + required cables/adapters + spares).
- Before deployment: sync with Khadejah on counts and reconcile any gaps.
Suggested Timeline (adjust as needed)
- 8:00-8:15  Call/text Ralph; lock handoff details
- 8:15-9:00  3HQ key drop -&gt; confirm receipt
- 9:00-1:00  HQ Plainview: configure devices + verification checks
- 1:00-2:00  Staging/packout for PBMC (labeling + inventory sanity check)
- 2:00-2:15  Quick sync w/ Khadejah: counts + deployment plan
- 2:15+      Travel/prepare for PBMC deployment window
Guardrails (avoid scope creep)
- If Tim is involved on install timing: meet at the requested time, but confirm requirements in advance.
- Do not accept extra add-ons without approval - log requests and escalate.
Completion signals (message back in Teams chat)
- Key returned to Ralph + time
- HQ config complete + device count
- PBMC staging complete + any blockers
- Counts aligned with Khadejah + final count
</t>
  </si>
  <si>
    <t>Key returned to Ralph @ ____ (time)
HQ config complete - ____ devices
PBMC staging complete - blockers: ____ / none
Counts aligned with Khadejah - final count ____</t>
  </si>
  <si>
    <t>Julio — Arms Transport + Spreadsheet Updates + Assist Counts (HQ / 1 Marcus) (1/8)</t>
  </si>
  <si>
    <t>Julio Mojica</t>
  </si>
  <si>
    <t>Khadejah Harrison ; Rich Perez</t>
  </si>
  <si>
    <t>8:00 AM – 5:00 PM (adjust to real hours)</t>
  </si>
  <si>
    <t>HQ + 1 Marcus (multi-stop; see checklist)</t>
  </si>
  <si>
    <t>Objective: Transport arms, log them in the master spreadsheet, then assist Khadejah with counts. Checklist: (1) Transport arms (2) Add arms into spreadsheet (qty + exact location) (3) Assist Khadejah with counts. Coordination: Coordinate with Julio after transport to work out counts on-site without extra driving; stop by 1 Marcus first only if it reduces back-and-forth. Completion: Arms delivered + logged; counts advanced; blockers flagged; status sent.</t>
  </si>
  <si>
    <t>ShowAs</t>
  </si>
  <si>
    <t>ReminderMinutes</t>
  </si>
  <si>
    <t>TimeZone</t>
  </si>
  <si>
    <t>Free</t>
  </si>
  <si>
    <t>In Progress</t>
  </si>
  <si>
    <t>America/New_York</t>
  </si>
  <si>
    <t>Tentative</t>
  </si>
  <si>
    <t>Out of Office</t>
  </si>
  <si>
    <t>Audience</t>
  </si>
  <si>
    <t>Use</t>
  </si>
  <si>
    <t>Message (copy/paste)</t>
  </si>
  <si>
    <t>Completed</t>
  </si>
  <si>
    <t>Ralph</t>
  </si>
  <si>
    <t>AM coordination</t>
  </si>
  <si>
    <t>Morning Ralph - Alejandro Perales is dropping off the universal key today. What time + meetup spot at 3HQ works best? He'll confirm once it's handed off.</t>
  </si>
  <si>
    <t>Yes</t>
  </si>
  <si>
    <t>Alejandro</t>
  </si>
  <si>
    <t>Run order / checkpoints</t>
  </si>
  <si>
    <t>Today's run order:
1) Contact Ralph now, lock handoff details
2) Drop key at 3HQ + confirm receipt
3) Head to HQ Plainview ASAP
4) Configure + stage devices for PBMC
5) Sync with Khadejah on counts before deployment
Ping after each checkpoint (Key / HQ config / Staging / Counts).</t>
  </si>
  <si>
    <t>Khadejah</t>
  </si>
  <si>
    <t>Counts sync</t>
  </si>
  <si>
    <t>Quick sync today - when you have a window, send your latest counts + any gaps. Alejandro will align staging with your numbers before deployment.</t>
  </si>
  <si>
    <t>Bonita</t>
  </si>
  <si>
    <t>FYI update</t>
  </si>
  <si>
    <t>FYI: Alejandro is returning the universal key to Ralph at 3HQ this morning, then heading to HQ Plainview for config + PBMC staging. I'll flag any blockers.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</si>
</sst>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yyyy\-mm\-dd\ h:mm:ss"/>
    <numFmt numFmtId="166" formatCode="ddd\,\ mm/dd/yyyy"/>
    <numFmt numFmtId="167" formatCode="m/d/yyyy;@"/>
    <numFmt numFmtId="168" formatCode="[$-409]h:mm\ AM/PM;@"/>
    <numFmt numFmtId="169" formatCode="[$-F800]dddd\,\ mmmm\ dd\,\ yyyy"/>
  </numFmts>
  <fonts count="10"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0"/>
      <color rgb="FFFFFFFF"/>
      <name val="Arial"/>
    </font>
    <font>
      <b/>
      <sz val="14"/>
      <color rgb="FFFFFFFF"/>
      <name val="Arial"/>
    </font>
    <font>
      <i/>
      <sz val="10"/>
      <color rgb="FF374151"/>
      <name val="Arial"/>
    </font>
    <font>
      <sz val="10"/>
      <color rgb="FF111827"/>
      <name val="Arial"/>
    </font>
    <font>
      <b/>
      <sz val="11"/>
      <color rgb="FF111827"/>
      <name val="Arial"/>
    </font>
    <font>
      <sz val="10"/>
      <color rgb="FF000000"/>
      <name val="Calibri"/>
      <scheme val="minor"/>
    </font>
    <font>
      <b/>
      <sz val="10"/>
      <color rgb="FF000000"/>
      <name val="Calibri"/>
      <scheme val="minor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EA5E9"/>
      </patternFill>
    </fill>
    <fill>
      <patternFill patternType="solid">
        <fgColor rgb="FFF3F4F6"/>
      </patternFill>
    </fill>
  </fills>
  <borders count="1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2"/>
  </cellStyleXfs>
  <cellXfs count="63">
    <xf numFmtId="0" fontId="0" fillId="0" borderId="0" xfId="0" applyBorder="1"/>
    <xf numFmtId="0" fontId="0" fillId="0" borderId="0" xfId="0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4" fillId="0" borderId="2" xfId="0" applyFont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164" fontId="5" fillId="0" borderId="1" xfId="0" applyNumberFormat="1" applyFont="1" applyBorder="1" applyAlignment="1">
      <alignment vertical="top" wrapText="1"/>
    </xf>
    <xf numFmtId="0" fontId="0" fillId="0" borderId="2" xfId="0"/>
    <xf numFmtId="0" fontId="2" fillId="2" borderId="2" xfId="0" applyFont="1" applyFill="1" applyAlignment="1">
      <alignment horizontal="center" vertical="center" wrapText="1"/>
    </xf>
    <xf numFmtId="0" fontId="0" fillId="0" borderId="2" xfId="0" applyAlignment="1">
      <alignment vertical="top" wrapText="1"/>
    </xf>
    <xf numFmtId="165" fontId="0" fillId="0" borderId="2" xfId="0" applyNumberFormat="1" applyAlignment="1">
      <alignment vertical="top" wrapText="1"/>
    </xf>
    <xf numFmtId="0" fontId="0" fillId="0" borderId="2" xfId="0" applyAlignment="1">
      <alignment vertical="top"/>
    </xf>
    <xf numFmtId="165" fontId="0" fillId="0" borderId="2" xfId="0" applyNumberFormat="1" applyAlignment="1">
      <alignment vertical="center"/>
    </xf>
    <xf numFmtId="0" fontId="0" fillId="0" borderId="2" xfId="0" applyAlignment="1">
      <alignment wrapText="1"/>
    </xf>
    <xf numFmtId="165" fontId="0" fillId="0" borderId="2" xfId="0" applyNumberFormat="1"/>
    <xf numFmtId="0" fontId="8" fillId="0" borderId="2" xfId="0" applyFont="1"/>
    <xf numFmtId="0" fontId="2" fillId="2" borderId="2" xfId="0" applyFont="1" applyFill="1" applyAlignment="1">
      <alignment vertical="center"/>
    </xf>
    <xf numFmtId="0" fontId="1" fillId="0" borderId="2" xfId="0" applyFont="1" applyAlignment="1">
      <alignment vertical="top"/>
    </xf>
    <xf numFmtId="0" fontId="1" fillId="0" borderId="2" xfId="0" applyFont="1" applyAlignment="1">
      <alignment vertical="top" wrapText="1"/>
    </xf>
    <xf numFmtId="166" fontId="1" fillId="0" borderId="2" xfId="0" applyNumberFormat="1" applyFont="1" applyAlignment="1">
      <alignment vertical="top" wrapText="1"/>
    </xf>
    <xf numFmtId="0" fontId="0" fillId="0" borderId="2" xfId="0" applyAlignment="1">
      <alignment horizontal="center" vertical="center" wrapText="1"/>
    </xf>
    <xf numFmtId="0" fontId="9" fillId="0" borderId="2" xfId="0" applyFont="1"/>
    <xf numFmtId="0" fontId="0" fillId="0" borderId="2" xfId="0" applyAlignment="1" applyProtection="1">
      <alignment vertical="top" wrapText="1"/>
      <protection locked="0"/>
    </xf>
    <xf numFmtId="0" fontId="0" fillId="0" borderId="2" xfId="0" applyAlignment="1" applyProtection="1">
      <alignment vertical="center"/>
      <protection locked="0"/>
    </xf>
    <xf numFmtId="0" fontId="0" fillId="0" borderId="2" xfId="0" applyProtection="1">
      <protection locked="0"/>
    </xf>
    <xf numFmtId="0" fontId="0" fillId="0" borderId="2" xfId="0" applyAlignment="1" applyProtection="1">
      <alignment wrapText="1"/>
      <protection locked="0"/>
    </xf>
    <xf numFmtId="0" fontId="7" fillId="0" borderId="2" xfId="0" applyFont="1" applyAlignment="1" applyProtection="1">
      <alignment wrapText="1"/>
      <protection locked="0"/>
    </xf>
    <xf numFmtId="0" fontId="8" fillId="0" borderId="2" xfId="0" applyFont="1" applyProtection="1">
      <protection locked="0"/>
    </xf>
    <xf numFmtId="165" fontId="5" fillId="0" borderId="1" xfId="0" applyNumberFormat="1" applyFont="1" applyBorder="1" applyAlignment="1">
      <alignment vertical="top" wrapText="1"/>
    </xf>
    <xf numFmtId="0" fontId="9" fillId="0" borderId="2" xfId="0" applyFont="1" applyAlignment="1">
      <alignment horizontal="center" vertical="center"/>
    </xf>
    <xf numFmtId="167" fontId="0" fillId="0" borderId="2" xfId="0" applyNumberFormat="1" applyAlignment="1" applyProtection="1">
      <alignment vertical="top" wrapText="1"/>
      <protection locked="0"/>
    </xf>
    <xf numFmtId="167" fontId="0" fillId="0" borderId="2" xfId="0" applyNumberFormat="1" applyAlignment="1" applyProtection="1">
      <alignment vertical="top"/>
      <protection locked="0"/>
    </xf>
    <xf numFmtId="167" fontId="8" fillId="0" borderId="2" xfId="0" applyNumberFormat="1" applyFont="1" applyProtection="1">
      <protection locked="0"/>
    </xf>
    <xf numFmtId="167" fontId="0" fillId="0" borderId="2" xfId="0" applyNumberFormat="1" applyProtection="1">
      <protection locked="0"/>
    </xf>
    <xf numFmtId="167" fontId="0" fillId="0" borderId="0" xfId="0" applyNumberFormat="1" applyBorder="1" applyAlignment="1">
      <alignment vertical="top"/>
    </xf>
    <xf numFmtId="168" fontId="0" fillId="0" borderId="2" xfId="0" applyNumberFormat="1" applyAlignment="1" applyProtection="1">
      <alignment vertical="top" wrapText="1"/>
      <protection locked="0"/>
    </xf>
    <xf numFmtId="168" fontId="0" fillId="0" borderId="2" xfId="0" applyNumberFormat="1" applyAlignment="1" applyProtection="1">
      <alignment vertical="center"/>
      <protection locked="0"/>
    </xf>
    <xf numFmtId="168" fontId="0" fillId="0" borderId="2" xfId="0" applyNumberFormat="1" applyProtection="1">
      <protection locked="0"/>
    </xf>
    <xf numFmtId="168" fontId="8" fillId="0" borderId="2" xfId="0" applyNumberFormat="1" applyFont="1" applyProtection="1">
      <protection locked="0"/>
    </xf>
    <xf numFmtId="168" fontId="0" fillId="0" borderId="0" xfId="0" applyNumberFormat="1" applyBorder="1"/>
    <xf numFmtId="14" fontId="0" fillId="0" borderId="2" xfId="0" applyNumberFormat="1"/>
    <xf numFmtId="167" fontId="0" fillId="0" borderId="2" xfId="0" applyNumberFormat="1" applyAlignment="1">
      <alignment vertical="top"/>
    </xf>
    <xf numFmtId="168" fontId="0" fillId="0" borderId="2" xfId="0" applyNumberFormat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/>
    </xf>
    <xf numFmtId="0" fontId="2" fillId="3" borderId="2" xfId="0" applyFont="1" applyFill="1" applyAlignment="1">
      <alignment horizontal="left" vertical="center"/>
    </xf>
    <xf numFmtId="0" fontId="4" fillId="0" borderId="2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3" fillId="2" borderId="2" xfId="0" applyFont="1" applyFill="1" applyAlignment="1">
      <alignment horizontal="left" vertical="center"/>
    </xf>
    <xf numFmtId="169" fontId="5" fillId="0" borderId="1" xfId="0" applyNumberFormat="1" applyFont="1" applyBorder="1" applyAlignment="1">
      <alignment horizontal="left" vertical="center" wrapText="1"/>
    </xf>
    <xf numFmtId="0" fontId="0" fillId="0" borderId="2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</cellXfs>
  <cellStyles count="1">
    <cellStyle name="Normal" xfId="0" builtinId="0"/>
  </cellStyles>
  <dxfs count="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Q246"/>
  <sheetViews>
    <sheetView workbookViewId="0">
      <pane ySplit="4" topLeftCell="A7" activePane="bottomLeft" state="frozen"/>
      <selection pane="bottomLeft" activeCell="L7" sqref="L7:Q7"/>
    </sheetView>
  </sheetViews>
  <sheetFormatPr defaultRowHeight="12.75"/>
  <cols>
    <col min="1" max="2" width="14" customWidth="1"/>
    <col min="3" max="4" width="34" customWidth="1"/>
    <col min="5" max="5" width="26" customWidth="1"/>
    <col min="6" max="8" width="22" customWidth="1"/>
    <col min="9" max="9" width="12" customWidth="1"/>
    <col min="10" max="10" width="2" customWidth="1"/>
    <col min="11" max="11" width="14" customWidth="1"/>
    <col min="12" max="12" width="16" customWidth="1"/>
    <col min="13" max="17" width="18" customWidth="1"/>
  </cols>
  <sheetData>
    <row r="1" spans="1:17" ht="27.95" customHeight="1">
      <c r="A1" s="51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7" ht="20.100000000000001" customHeight="1">
      <c r="A2" s="49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</row>
    <row r="3" spans="1:17" ht="20.100000000000001" customHeight="1">
      <c r="A3" s="48" t="s">
        <v>2</v>
      </c>
      <c r="B3" s="53"/>
      <c r="C3" s="53"/>
      <c r="D3" s="53"/>
      <c r="E3" s="53"/>
      <c r="F3" s="53"/>
      <c r="G3" s="53"/>
      <c r="H3" s="53"/>
      <c r="I3" s="53"/>
      <c r="J3" s="8"/>
      <c r="K3" s="48" t="s">
        <v>3</v>
      </c>
      <c r="L3" s="53"/>
      <c r="M3" s="53"/>
      <c r="N3" s="53"/>
      <c r="O3" s="53"/>
      <c r="P3" s="53"/>
      <c r="Q3" s="53"/>
    </row>
    <row r="4" spans="1:17" ht="27.95" customHeight="1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8"/>
      <c r="K4" s="2" t="s">
        <v>4</v>
      </c>
      <c r="L4" s="45" t="s">
        <v>13</v>
      </c>
      <c r="M4" s="54"/>
      <c r="N4" s="54"/>
      <c r="O4" s="54"/>
      <c r="P4" s="54"/>
      <c r="Q4" s="55"/>
    </row>
    <row r="5" spans="1:17" ht="38.25" customHeight="1">
      <c r="A5" s="3" t="str">
        <f>IFERROR(INDEX('Invite Builder'!$A:$A,ROW()-3),"")</f>
        <v>AP-2026-01-08</v>
      </c>
      <c r="B5" s="3">
        <f>IFERROR(INDEX('Invite Builder'!$C:$C,ROW()-3),"")</f>
        <v>46030</v>
      </c>
      <c r="C5" s="3">
        <f>IFERROR(INDEX('Invite Builder'!$D:$D,ROW()-3),"")</f>
        <v>0.33333333333333331</v>
      </c>
      <c r="D5" s="3">
        <f>IFERROR(INDEX('Invite Builder'!$E:$E,ROW()-3),"")</f>
        <v>0.70833333333333337</v>
      </c>
      <c r="E5" s="3" t="str">
        <f>IFERROR(INDEX('Invite Builder'!$B:$B,ROW()-3),"")</f>
        <v>Alejandro - 3HQ Key Drop + HQ Plainview Config + PBMC Prep (1/8)</v>
      </c>
      <c r="F5" s="3" t="str">
        <f>IFERROR(INDEX('Invite Builder'!$I:$I,ROW()-3),"")</f>
        <v>HQ - Plainview (multi-stop details in agenda)</v>
      </c>
      <c r="G5" s="3" t="str">
        <f>IFERROR(INDEX('Invite Builder'!$G:$G,ROW()-3),"")</f>
        <v>Alejandro Perales</v>
      </c>
      <c r="H5" s="3" t="str">
        <f>IFERROR(INDEX('Invite Builder'!$H:$H,ROW()-3),"")</f>
        <v>Ralph (3HQ) ; Khadejah Harrison ; Akbar (if he's the config owner)</v>
      </c>
      <c r="I5" s="3" t="str">
        <f>IFERROR(INDEX('Invite Builder'!$T:$T,ROW()-3),"")</f>
        <v>Planned</v>
      </c>
      <c r="J5" s="8"/>
      <c r="K5" s="2" t="s">
        <v>8</v>
      </c>
      <c r="L5" s="44" t="str">
        <f>IFERROR(VLOOKUP($L$4,'Invite Builder'!$A:$U,2,FALSE),"")</f>
        <v>LIJ ORs - Cybernet + GCX Arm Deployment (Day 2 of 2)</v>
      </c>
      <c r="M5" s="54"/>
      <c r="N5" s="54"/>
      <c r="O5" s="54"/>
      <c r="P5" s="54"/>
      <c r="Q5" s="55"/>
    </row>
    <row r="6" spans="1:17" ht="48" customHeight="1">
      <c r="A6" s="3" t="str">
        <f>IFERROR(INDEX('Invite Builder'!$A:$A,ROW()-3),"")</f>
        <v>KH-2026-01-08</v>
      </c>
      <c r="B6" s="3">
        <f>IFERROR(INDEX('Invite Builder'!$C:$C,ROW()-3),"")</f>
        <v>46030</v>
      </c>
      <c r="C6" s="3">
        <f>IFERROR(INDEX('Invite Builder'!$D:$D,ROW()-3),"")</f>
        <v>0.33333333333333331</v>
      </c>
      <c r="D6" s="3">
        <f>IFERROR(INDEX('Invite Builder'!$E:$E,ROW()-3),"")</f>
        <v>0.70833333333333337</v>
      </c>
      <c r="E6" s="3" t="str">
        <f>IFERROR(INDEX('Invite Builder'!$B:$B,ROW()-3),"")</f>
        <v>Khadejah — Inventory Counts + Locations (1 Marcus + HQ) + Pallets + Arm Attach Doc (1/8)</v>
      </c>
      <c r="F6" s="3" t="str">
        <f>IFERROR(INDEX('Invite Builder'!$I:$I,ROW()-3),"")</f>
        <v>HQ + 1 Marcus (multi-stop counts + pallets; details in agenda)</v>
      </c>
      <c r="G6" s="3" t="str">
        <f>IFERROR(INDEX('Invite Builder'!$G:$G,ROW()-3),"")</f>
        <v>Khadejah Harrison</v>
      </c>
      <c r="H6" s="3" t="str">
        <f>IFERROR(INDEX('Invite Builder'!$H:$H,ROW()-3),"")</f>
        <v>Rich Perez ; Bonita Outlaw</v>
      </c>
      <c r="I6" s="3" t="str">
        <f>IFERROR(INDEX('Invite Builder'!$T:$T,ROW()-3),"")</f>
        <v>Planned</v>
      </c>
      <c r="J6" s="8"/>
      <c r="K6" s="2" t="s">
        <v>5</v>
      </c>
      <c r="L6" s="52">
        <f>IFERROR(VLOOKUP($L$4,'Invite Builder'!$A:$U,3,FALSE),"")</f>
        <v>46075</v>
      </c>
      <c r="M6" s="54"/>
      <c r="N6" s="54"/>
      <c r="O6" s="54"/>
      <c r="P6" s="54"/>
      <c r="Q6" s="55"/>
    </row>
    <row r="7" spans="1:17" ht="84" customHeight="1">
      <c r="A7" s="3" t="str">
        <f>IFERROR(INDEX('Invite Builder'!$A:$A,ROW()-3),"")</f>
        <v>IP-2026-01-12</v>
      </c>
      <c r="B7" s="3">
        <f>IFERROR(INDEX('Invite Builder'!$C:$C,ROW()-3),"")</f>
        <v>46034</v>
      </c>
      <c r="C7" s="3">
        <f>IFERROR(INDEX('Invite Builder'!$D:$D,ROW()-3),"")</f>
        <v>0.375</v>
      </c>
      <c r="D7" s="3">
        <f>IFERROR(INDEX('Invite Builder'!$E:$E,ROW()-3),"")</f>
        <v>0.75</v>
      </c>
      <c r="E7" s="3" t="str">
        <f>IFERROR(INDEX('Invite Builder'!$B:$B,ROW()-3),"")</f>
        <v>iPhone/Rover — Recurring Training Block (Starts Week of 1/12)</v>
      </c>
      <c r="F7" s="3" t="str">
        <f>IFERROR(INDEX('Invite Builder'!$I:$I,ROW()-3),"")</f>
        <v>Training window (no meeting link)</v>
      </c>
      <c r="G7" s="3" t="str">
        <f>IFERROR(INDEX('Invite Builder'!$G:$G,ROW()-3),"")</f>
        <v>Emmanuel Sanchez; Ezekiel; Erik Guzman; Julio Mojica; Asher Ali; Valentyn Nykoliuk; Tanjim Khan; Shazaib Idrees; Cyen Heyliger; Connor Hoffman</v>
      </c>
      <c r="H7" s="3" t="str">
        <f>IFERROR(INDEX('Invite Builder'!$H:$H,ROW()-3),"")</f>
        <v>Nayelin Monegro; Rich Perez</v>
      </c>
      <c r="I7" s="3" t="str">
        <f>IFERROR(INDEX('Invite Builder'!$T:$T,ROW()-3),"")</f>
        <v>Planned</v>
      </c>
      <c r="J7" s="8"/>
      <c r="K7" s="2" t="s">
        <v>14</v>
      </c>
      <c r="L7" s="44" t="str">
        <f>IFERROR(TEXT(VLOOKUP($L$4,'Invite Builder'!$A:$U,4,FALSE),"h:mm AM/PM"),"")&amp;" - "&amp;IFERROR(TEXT(VLOOKUP($L$4,'Invite Builder'!$A:$U,5,FALSE),"h:mm AM/PM"),"")&amp;" "&amp;IFERROR(VLOOKUP($L$4,'Invite Builder'!$A:$U,6,FALSE),"")</f>
        <v>8:00 AM - 6:00 PM Local</v>
      </c>
      <c r="M7" s="54"/>
      <c r="N7" s="54"/>
      <c r="O7" s="54"/>
      <c r="P7" s="54"/>
      <c r="Q7" s="55"/>
    </row>
    <row r="8" spans="1:17" ht="38.25" customHeight="1">
      <c r="A8" s="3" t="str">
        <f>IFERROR(INDEX('Invite Builder'!$A:$A,ROW()-3),"")</f>
        <v>MV-2026-01-11</v>
      </c>
      <c r="B8" s="3">
        <f>IFERROR(INDEX('Invite Builder'!$C:$C,ROW()-3),"")</f>
        <v>46033</v>
      </c>
      <c r="C8" s="3">
        <f>IFERROR(INDEX('Invite Builder'!$D:$D,ROW()-3),"")</f>
        <v>0.33333333333333331</v>
      </c>
      <c r="D8" s="3">
        <f>IFERROR(INDEX('Invite Builder'!$E:$E,ROW()-3),"")</f>
        <v>0.70833333333333337</v>
      </c>
      <c r="E8" s="3" t="str">
        <f>IFERROR(INDEX('Invite Builder'!$B:$B,ROW()-3),"")</f>
        <v>LIJ SDF Sunday — Transport + Pack-Out (Marvin Lead) — 28 all around</v>
      </c>
      <c r="F8" s="3" t="str">
        <f>IFERROR(INDEX('Invite Builder'!$I:$I,ROW()-3),"")</f>
        <v>Stock staging room → LIJ SDF</v>
      </c>
      <c r="G8" s="3" t="str">
        <f>IFERROR(INDEX('Invite Builder'!$G:$G,ROW()-3),"")</f>
        <v>Marvin Tate</v>
      </c>
      <c r="H8" s="3" t="str">
        <f>IFERROR(INDEX('Invite Builder'!$H:$H,ROW()-3),"")</f>
        <v>Rich Perez; Bonita Outlaw</v>
      </c>
      <c r="I8" s="3" t="str">
        <f>IFERROR(INDEX('Invite Builder'!$T:$T,ROW()-3),"")</f>
        <v>Planned</v>
      </c>
      <c r="J8" s="8"/>
      <c r="K8" s="2" t="s">
        <v>9</v>
      </c>
      <c r="L8" s="44" t="str">
        <f>IFERROR(VLOOKUP($L$4,'Invite Builder'!$A:$U,9,FALSE),"")</f>
        <v>LIJ Main - OR Suite</v>
      </c>
      <c r="M8" s="54"/>
      <c r="N8" s="54"/>
      <c r="O8" s="54"/>
      <c r="P8" s="54"/>
      <c r="Q8" s="55"/>
    </row>
    <row r="9" spans="1:17" ht="38.25" customHeight="1">
      <c r="A9" s="3" t="str">
        <f>IFERROR(INDEX('Invite Builder'!$A:$A,ROW()-3),"")</f>
        <v>PM-2026-01-19</v>
      </c>
      <c r="B9" s="3">
        <f>IFERROR(INDEX('Invite Builder'!$C:$C,ROW()-3),"")</f>
        <v>46041</v>
      </c>
      <c r="C9" s="3">
        <f>IFERROR(INDEX('Invite Builder'!$D:$D,ROW()-3),"")</f>
        <v>0.375</v>
      </c>
      <c r="D9" s="3">
        <f>IFERROR(INDEX('Invite Builder'!$E:$E,ROW()-3),"")</f>
        <v>0.75</v>
      </c>
      <c r="E9" s="3" t="str">
        <f>IFERROR(INDEX('Invite Builder'!$B:$B,ROW()-3),"")</f>
        <v>Patricia — iPhone/Rover — Recurring Training Block (Starts Week of 1/21)</v>
      </c>
      <c r="F9" s="3" t="str">
        <f>IFERROR(INDEX('Invite Builder'!$I:$I,ROW()-3),"")</f>
        <v>LHH and the Northern Westchester Area</v>
      </c>
      <c r="G9" s="3" t="str">
        <f>IFERROR(INDEX('Invite Builder'!$G:$G,ROW()-3),"")</f>
        <v>Patricia Marrero</v>
      </c>
      <c r="H9" s="3" t="str">
        <f>IFERROR(INDEX('Invite Builder'!$H:$H,ROW()-3),"")</f>
        <v>Rich Perez; Josh Vincent</v>
      </c>
      <c r="I9" s="3">
        <f>IFERROR(INDEX('Invite Builder'!$T:$T,ROW()-3),"")</f>
        <v>0</v>
      </c>
      <c r="J9" s="8"/>
      <c r="K9" s="22" t="s">
        <v>15</v>
      </c>
      <c r="L9" s="8" t="str">
        <f>IFERROR(VLOOKUP($L$4,'Invite Builder'!$A:$V,22,FALSE),"")</f>
        <v>Missing Status</v>
      </c>
      <c r="M9" s="8"/>
      <c r="N9" s="8"/>
      <c r="O9" s="8"/>
      <c r="P9" s="8"/>
      <c r="Q9" s="8"/>
    </row>
    <row r="10" spans="1:17" ht="24" customHeight="1">
      <c r="A10" s="3" t="str">
        <f>IFERROR(INDEX('Invite Builder'!$A:$A,ROW()-3),"")</f>
        <v>MT-2026-01-21</v>
      </c>
      <c r="B10" s="3">
        <f>IFERROR(INDEX('Invite Builder'!$C:$C,ROW()-3),"")</f>
        <v>46043</v>
      </c>
      <c r="C10" s="3">
        <f>IFERROR(INDEX('Invite Builder'!$D:$D,ROW()-3),"")</f>
        <v>0.375</v>
      </c>
      <c r="D10" s="3">
        <f>IFERROR(INDEX('Invite Builder'!$E:$E,ROW()-3),"")</f>
        <v>0.45833333333333331</v>
      </c>
      <c r="E10" s="3" t="str">
        <f>IFERROR(INDEX('Invite Builder'!$B:$B,ROW()-3),"")</f>
        <v>MEETH — Stock Delivery (Marvin Lead)</v>
      </c>
      <c r="F10" s="3" t="str">
        <f>IFERROR(INDEX('Invite Builder'!$I:$I,ROW()-3),"")</f>
        <v>MEETH</v>
      </c>
      <c r="G10" s="3" t="str">
        <f>IFERROR(INDEX('Invite Builder'!$G:$G,ROW()-3),"")</f>
        <v>Marvin Tate</v>
      </c>
      <c r="H10" s="3" t="str">
        <f>IFERROR(INDEX('Invite Builder'!$H:$H,ROW()-3),"")</f>
        <v>Rich Perez; Bonita Outlaw</v>
      </c>
      <c r="I10" s="3" t="str">
        <f>IFERROR(INDEX('Invite Builder'!$T:$T,ROW()-3),"")</f>
        <v>Planned</v>
      </c>
      <c r="J10" s="8"/>
      <c r="K10" s="2" t="s">
        <v>16</v>
      </c>
      <c r="L10" s="47" t="s">
        <v>17</v>
      </c>
      <c r="M10" s="54"/>
      <c r="N10" s="54"/>
      <c r="O10" s="54"/>
      <c r="P10" s="54"/>
      <c r="Q10" s="55"/>
    </row>
    <row r="11" spans="1:17" ht="260.10000000000002" customHeight="1">
      <c r="A11" s="3" t="str">
        <f>IFERROR(INDEX('Invite Builder'!$A:$A,ROW()-3),"")</f>
        <v>KH-2026-01-27</v>
      </c>
      <c r="B11" s="3">
        <f>IFERROR(INDEX('Invite Builder'!$C:$C,ROW()-3),"")</f>
        <v>46049</v>
      </c>
      <c r="C11" s="3">
        <f>IFERROR(INDEX('Invite Builder'!$D:$D,ROW()-3),"")</f>
        <v>0.375</v>
      </c>
      <c r="D11" s="3">
        <f>IFERROR(INDEX('Invite Builder'!$E:$E,ROW()-3),"")</f>
        <v>0.625</v>
      </c>
      <c r="E11" s="3" t="str">
        <f>IFERROR(INDEX('Invite Builder'!$B:$B,ROW()-3),"")</f>
        <v>Glen Cove — OR/Endo Cybernet Peripherals Install (9 KB+Mouse, 9 Badge Readers, 9 Barcode Scanners)</v>
      </c>
      <c r="F11" s="3" t="str">
        <f>IFERROR(INDEX('Invite Builder'!$I:$I,ROW()-3),"")</f>
        <v>Glen Cove Hospital — OR &amp; Endo (Cybernet)</v>
      </c>
      <c r="G11" s="3" t="str">
        <f>IFERROR(INDEX('Invite Builder'!$G:$G,ROW()-3),"")</f>
        <v>Khadejah Harrison; CDW Resource (TBD)</v>
      </c>
      <c r="H11" s="3" t="str">
        <f>IFERROR(INDEX('Invite Builder'!$H:$H,ROW()-3),"")</f>
        <v>Timothy Seeberger</v>
      </c>
      <c r="I11" s="3">
        <f>IFERROR(INDEX('Invite Builder'!$T:$T,ROW()-3),"")</f>
        <v>0</v>
      </c>
      <c r="J11" s="8"/>
      <c r="K11" s="50" t="str">
        <f>IFERROR(IF(OR(VLOOKUP($L$4,'Invite Builder'!$A:$U,18,FALSE)="",LEN(VLOOKUP($L$4,'Invite Builder'!$A:$U,18,FALSE))&lt;60,ISNUMBER(MATCH(TRIM(VLOOKUP($L$4,'Invite Builder'!$A:$U,18,FALSE)),StatusList,0))),"⚠️ Teams body looks overwritten/short. Check Invite Builder col R (Body) and restore the formula.",VLOOKUP($L$4,'Invite Builder'!$A:$U,18,FALSE)),"")</f>
        <v>Purpose 
Continue LIJ ORs deployment/testing. FIRST ACTION: confirm PA creds still working (or re-activate if needed). Same standards: GCX arms + peripherals installed; validate badge/barcode/connectivity; trackers stay live; close out open issues from Day 1.
Stops (in order) 
1) 08:00 kickoff + review Day 1 exceptions 2) Confirm PA creds active + quick verification 3) Stage remaining devices/parts 4) Complete remaining ORs first 5) Re-test any problem rooms 6) Update trackers continuously + resolve/escalate exceptions 7) Consolidate disposal pile + label clearly 8) 17:30 final sweep + handoff notes
To-Do (hard requirements) 
Zero “we’ll fix it later” devices left in service. PA creds verified before work begins. Any blocker gets an owner + next action logged before wrap. Tracker stays current throughout execution.
Suggested Timeline 
08:00 kickoff; 08:10 PA creds verification; 08:20 staging; 09:00 deployments rolling; 15:30 begin closeout/retests; 17:30 handoff notes; 18:00 wrap
Guardrails 
No improvising changes; keep OR sequence disciplined; escalate access/port issues immediately; keep cabling clean and standardized; update trackers as we go so status is always current.
Completion signals 
PA creds verified; all remaining assigned devices deployed + validated; Day 1 issues resolved or owned; tracker current; closeout notes sent.</v>
      </c>
      <c r="L11" s="56"/>
      <c r="M11" s="56"/>
      <c r="N11" s="56"/>
      <c r="O11" s="56"/>
      <c r="P11" s="56"/>
      <c r="Q11" s="57"/>
    </row>
    <row r="12" spans="1:17" ht="63.75" customHeight="1">
      <c r="A12" s="3" t="str">
        <f>IFERROR(INDEX('Invite Builder'!$A:$A,ROW()-3),"")</f>
        <v>KH-2026-01-27</v>
      </c>
      <c r="B12" s="3">
        <f>IFERROR(INDEX('Invite Builder'!$C:$C,ROW()-3),"")</f>
        <v>46049</v>
      </c>
      <c r="C12" s="3">
        <f>IFERROR(INDEX('Invite Builder'!$D:$D,ROW()-3),"")</f>
        <v>0.375</v>
      </c>
      <c r="D12" s="3">
        <f>IFERROR(INDEX('Invite Builder'!$E:$E,ROW()-3),"")</f>
        <v>0.625</v>
      </c>
      <c r="E12" s="3" t="str">
        <f>IFERROR(INDEX('Invite Builder'!$B:$B,ROW()-3),"")</f>
        <v>Glen Cove — OR/Endo Cybernet Peripherals Install (9 KB+Mouse, 9 Badge Readers, 9 Barcode Scanners)</v>
      </c>
      <c r="F12" s="3" t="str">
        <f>IFERROR(INDEX('Invite Builder'!$I:$I,ROW()-3),"")</f>
        <v>Glen Cove Hospital — OR &amp; Endo (Cybernet)</v>
      </c>
      <c r="G12" s="3" t="str">
        <f>IFERROR(INDEX('Invite Builder'!$G:$G,ROW()-3),"")</f>
        <v>Khadejah Harrison; CDW Resource (TBD)</v>
      </c>
      <c r="H12" s="3" t="str">
        <f>IFERROR(INDEX('Invite Builder'!$H:$H,ROW()-3),"")</f>
        <v>Timothy Seeberger</v>
      </c>
      <c r="I12" s="3">
        <f>IFERROR(INDEX('Invite Builder'!$T:$T,ROW()-3),"")</f>
        <v>0</v>
      </c>
      <c r="J12" s="8"/>
      <c r="K12" s="58"/>
      <c r="L12" s="53"/>
      <c r="M12" s="53"/>
      <c r="N12" s="53"/>
      <c r="O12" s="53"/>
      <c r="P12" s="53"/>
      <c r="Q12" s="59"/>
    </row>
    <row r="13" spans="1:17" ht="38.25" customHeight="1">
      <c r="A13" s="3" t="str">
        <f>IFERROR(INDEX('Invite Builder'!$A:$A,ROW()-3),"")</f>
        <v>GG-2026-01-30</v>
      </c>
      <c r="B13" s="3">
        <f>IFERROR(INDEX('Invite Builder'!$C:$C,ROW()-3),"")</f>
        <v>46052</v>
      </c>
      <c r="C13" s="3">
        <f>IFERROR(INDEX('Invite Builder'!$D:$D,ROW()-3),"")</f>
        <v>0.375</v>
      </c>
      <c r="D13" s="3">
        <f>IFERROR(INDEX('Invite Builder'!$E:$E,ROW()-3),"")</f>
        <v>0.70833333333333337</v>
      </c>
      <c r="E13" s="3" t="str">
        <f>IFERROR(INDEX('Invite Builder'!$B:$B,ROW()-3),"")</f>
        <v>Cybernet Deployment + iPad Go-Live Support (Senior + Shadow)</v>
      </c>
      <c r="F13" s="3" t="str">
        <f>IFERROR(INDEX('Invite Builder'!$I:$I,ROW()-3),"")</f>
        <v>Client Site — Cybernet Go-Live</v>
      </c>
      <c r="G13" s="3" t="str">
        <f>IFERROR(INDEX('Invite Builder'!$G:$G,ROW()-3),"")</f>
        <v>Geoff Gerber; Chris Cummings</v>
      </c>
      <c r="H13" s="3" t="str">
        <f>IFERROR(INDEX('Invite Builder'!$H:$H,ROW()-3),"")</f>
        <v>Rich Perez</v>
      </c>
      <c r="I13" s="3">
        <f>IFERROR(INDEX('Invite Builder'!$T:$T,ROW()-3),"")</f>
        <v>0</v>
      </c>
      <c r="J13" s="8"/>
      <c r="K13" s="58"/>
      <c r="L13" s="53"/>
      <c r="M13" s="53"/>
      <c r="N13" s="53"/>
      <c r="O13" s="53"/>
      <c r="P13" s="53"/>
      <c r="Q13" s="59"/>
    </row>
    <row r="14" spans="1:17">
      <c r="A14" s="3" t="str">
        <f>IFERROR(INDEX('Invite Builder'!$A:$A,ROW()-3),"")</f>
        <v>AA-2026-02-07</v>
      </c>
      <c r="B14" s="3">
        <f>IFERROR(INDEX('Invite Builder'!$C:$C,ROW()-3),"")</f>
        <v>46060</v>
      </c>
      <c r="C14" s="3">
        <f>IFERROR(INDEX('Invite Builder'!$D:$D,ROW()-3),"")</f>
        <v>0.375</v>
      </c>
      <c r="D14" s="3">
        <f>IFERROR(INDEX('Invite Builder'!$E:$E,ROW()-3),"")</f>
        <v>0.70833333333333337</v>
      </c>
      <c r="E14" s="3" t="str">
        <f>IFERROR(INDEX('Invite Builder'!$B:$B,ROW()-3),"")</f>
        <v>CFAM — Deployment Support (One-Day Push)</v>
      </c>
      <c r="F14" s="3" t="str">
        <f>IFERROR(INDEX('Invite Builder'!$I:$I,ROW()-3),"")</f>
        <v>CFAM (Center for Advanced Medicine)</v>
      </c>
      <c r="G14" s="3" t="str">
        <f>IFERROR(INDEX('Invite Builder'!$G:$G,ROW()-3),"")</f>
        <v>Asher Ali; Alejandro Pelales; Delroy Harris</v>
      </c>
      <c r="H14" s="3" t="str">
        <f>IFERROR(INDEX('Invite Builder'!$H:$H,ROW()-3),"")</f>
        <v>Patricia Marrero</v>
      </c>
      <c r="I14" s="3" t="str">
        <f>IFERROR(INDEX('Invite Builder'!$T:$T,ROW()-3),"")</f>
        <v>Planned</v>
      </c>
      <c r="J14" s="8"/>
      <c r="K14" s="58"/>
      <c r="L14" s="53"/>
      <c r="M14" s="53"/>
      <c r="N14" s="53"/>
      <c r="O14" s="53"/>
      <c r="P14" s="53"/>
      <c r="Q14" s="59"/>
    </row>
    <row r="15" spans="1:17">
      <c r="A15" s="3" t="str">
        <f>IFERROR(INDEX('Invite Builder'!$A:$A,ROW()-3),"")</f>
        <v>KH-2026-02-09</v>
      </c>
      <c r="B15" s="3">
        <f>IFERROR(INDEX('Invite Builder'!$C:$C,ROW()-3),"")</f>
        <v>46062</v>
      </c>
      <c r="C15" s="3">
        <f>IFERROR(INDEX('Invite Builder'!$D:$D,ROW()-3),"")</f>
        <v>0.45833333333333331</v>
      </c>
      <c r="D15" s="3">
        <f>IFERROR(INDEX('Invite Builder'!$E:$E,ROW()-3),"")</f>
        <v>0.54166666666666663</v>
      </c>
      <c r="E15" s="3" t="str">
        <f>IFERROR(INDEX('Invite Builder'!$B:$B,ROW()-3),"")</f>
        <v>LIJ SDF - Satellite Dialysis Facility - Testing Oversight (Noon-1) + Possible Cat6 Relay</v>
      </c>
      <c r="F15" s="3" t="str">
        <f>IFERROR(INDEX('Invite Builder'!$I:$I,ROW()-3),"")</f>
        <v>LIJ SDF - Satellite Dialysis Facility</v>
      </c>
      <c r="G15" s="3" t="str">
        <f>IFERROR(INDEX('Invite Builder'!$G:$G,ROW()-3),"")</f>
        <v>Khadejah Harrison</v>
      </c>
      <c r="H15" s="3">
        <f>IFERROR(INDEX('Invite Builder'!$H:$H,ROW()-3),"")</f>
        <v>0</v>
      </c>
      <c r="I15" s="3" t="str">
        <f>IFERROR(INDEX('Invite Builder'!$T:$T,ROW()-3),"")</f>
        <v>Planned</v>
      </c>
      <c r="J15" s="8"/>
      <c r="K15" s="58"/>
      <c r="L15" s="53"/>
      <c r="M15" s="53"/>
      <c r="N15" s="53"/>
      <c r="O15" s="53"/>
      <c r="P15" s="53"/>
      <c r="Q15" s="59"/>
    </row>
    <row r="16" spans="1:17">
      <c r="A16" s="3" t="str">
        <f>IFERROR(INDEX('Invite Builder'!$A:$A,ROW()-3),"")</f>
        <v>MT-2026-02-09</v>
      </c>
      <c r="B16" s="3">
        <f>IFERROR(INDEX('Invite Builder'!$C:$C,ROW()-3),"")</f>
        <v>46062</v>
      </c>
      <c r="C16" s="3">
        <f>IFERROR(INDEX('Invite Builder'!$D:$D,ROW()-3),"")</f>
        <v>0.70833333333333337</v>
      </c>
      <c r="D16" s="3">
        <f>IFERROR(INDEX('Invite Builder'!$E:$E,ROW()-3),"")</f>
        <v>0.83333333333333337</v>
      </c>
      <c r="E16" s="3" t="str">
        <f>IFERROR(INDEX('Invite Builder'!$B:$B,ROW()-3),"")</f>
        <v>Franklin Hospital (Valley Stream) - Peripheral Deployment (10 units)</v>
      </c>
      <c r="F16" s="3" t="str">
        <f>IFERROR(INDEX('Invite Builder'!$I:$I,ROW()-3),"")</f>
        <v>Franklin Hospital - Valley Stream</v>
      </c>
      <c r="G16" s="3" t="str">
        <f>IFERROR(INDEX('Invite Builder'!$G:$G,ROW()-3),"")</f>
        <v>Marvin Tate; Khadejah Harrison</v>
      </c>
      <c r="H16" s="3">
        <f>IFERROR(INDEX('Invite Builder'!$H:$H,ROW()-3),"")</f>
        <v>0</v>
      </c>
      <c r="I16" s="3">
        <f>IFERROR(INDEX('Invite Builder'!$T:$T,ROW()-3),"")</f>
        <v>0</v>
      </c>
      <c r="J16" s="8"/>
      <c r="K16" s="58"/>
      <c r="L16" s="53"/>
      <c r="M16" s="53"/>
      <c r="N16" s="53"/>
      <c r="O16" s="53"/>
      <c r="P16" s="53"/>
      <c r="Q16" s="59"/>
    </row>
    <row r="17" spans="1:17">
      <c r="A17" s="3" t="str">
        <f>IFERROR(INDEX('Invite Builder'!$A:$A,ROW()-3),"")</f>
        <v/>
      </c>
      <c r="B17" s="3">
        <f>IFERROR(INDEX('Invite Builder'!$C:$C,ROW()-3),"")</f>
        <v>46062</v>
      </c>
      <c r="C17" s="3">
        <f>IFERROR(INDEX('Invite Builder'!$D:$D,ROW()-3),"")</f>
        <v>0</v>
      </c>
      <c r="D17" s="3">
        <f>IFERROR(INDEX('Invite Builder'!$E:$E,ROW()-3),"")</f>
        <v>0</v>
      </c>
      <c r="E17" s="3" t="str">
        <f>IFERROR(INDEX('Invite Builder'!$B:$B,ROW()-3),"")</f>
        <v>LIJVS — Device Integration Install/Testing (W2)</v>
      </c>
      <c r="F17" s="3" t="str">
        <f>IFERROR(INDEX('Invite Builder'!$I:$I,ROW()-3),"")</f>
        <v>LIJ Valley Stream</v>
      </c>
      <c r="G17" s="3" t="str">
        <f>IFERROR(INDEX('Invite Builder'!$G:$G,ROW()-3),"")</f>
        <v>Khadejah Harrison; Marvin Tate</v>
      </c>
      <c r="H17" s="3" t="str">
        <f>IFERROR(INDEX('Invite Builder'!$H:$H,ROW()-3),"")</f>
        <v>Richard Perez; Tim Seeberger</v>
      </c>
      <c r="I17" s="3">
        <f>IFERROR(INDEX('Invite Builder'!$T:$T,ROW()-3),"")</f>
        <v>0</v>
      </c>
      <c r="J17" s="8"/>
      <c r="K17" s="58"/>
      <c r="L17" s="53"/>
      <c r="M17" s="53"/>
      <c r="N17" s="53"/>
      <c r="O17" s="53"/>
      <c r="P17" s="53"/>
      <c r="Q17" s="59"/>
    </row>
    <row r="18" spans="1:17">
      <c r="A18" s="3" t="str">
        <f>IFERROR(INDEX('Invite Builder'!$A:$A,ROW()-3),"")</f>
        <v>AP-2026-02-14</v>
      </c>
      <c r="B18" s="3">
        <f>IFERROR(INDEX('Invite Builder'!$C:$C,ROW()-3),"")</f>
        <v>46067</v>
      </c>
      <c r="C18" s="3">
        <f>IFERROR(INDEX('Invite Builder'!$D:$D,ROW()-3),"")</f>
        <v>0.33333333333333331</v>
      </c>
      <c r="D18" s="3">
        <f>IFERROR(INDEX('Invite Builder'!$E:$E,ROW()-3),"")</f>
        <v>0.75</v>
      </c>
      <c r="E18" s="3" t="str">
        <f>IFERROR(INDEX('Invite Builder'!$B:$B,ROW()-3),"")</f>
        <v>CCMC — Cybernet Deployment + iPro + OU Config (14 units) — ONE location</v>
      </c>
      <c r="F18" s="3" t="str">
        <f>IFERROR(INDEX('Invite Builder'!$I:$I,ROW()-3),"")</f>
        <v>CCMC</v>
      </c>
      <c r="G18" s="3" t="str">
        <f>IFERROR(INDEX('Invite Builder'!$G:$G,ROW()-3),"")</f>
        <v>Alejandro Perales; Chris Cummings; Nicholas Valentin</v>
      </c>
      <c r="H18" s="3" t="str">
        <f>IFERROR(INDEX('Invite Builder'!$H:$H,ROW()-3),"")</f>
        <v>Rich Perez; Tim Seeberger</v>
      </c>
      <c r="I18" s="3">
        <f>IFERROR(INDEX('Invite Builder'!$T:$T,ROW()-3),"")</f>
        <v>0</v>
      </c>
      <c r="J18" s="8"/>
      <c r="K18" s="58"/>
      <c r="L18" s="53"/>
      <c r="M18" s="53"/>
      <c r="N18" s="53"/>
      <c r="O18" s="53"/>
      <c r="P18" s="53"/>
      <c r="Q18" s="59"/>
    </row>
    <row r="19" spans="1:17">
      <c r="A19" s="3" t="str">
        <f>IFERROR(INDEX('Invite Builder'!$A:$A,ROW()-3),"")</f>
        <v>MT-2026-02-13</v>
      </c>
      <c r="B19" s="3">
        <f>IFERROR(INDEX('Invite Builder'!$C:$C,ROW()-3),"")</f>
        <v>46066</v>
      </c>
      <c r="C19" s="3">
        <f>IFERROR(INDEX('Invite Builder'!$D:$D,ROW()-3),"")</f>
        <v>0.5</v>
      </c>
      <c r="D19" s="3">
        <f>IFERROR(INDEX('Invite Builder'!$E:$E,ROW()-3),"")</f>
        <v>0.66666666666666663</v>
      </c>
      <c r="E19" s="3" t="str">
        <f>IFERROR(INDEX('Invite Builder'!$B:$B,ROW()-3),"")</f>
        <v>CCMC — HQ → Site Delivery (14 Cybernets + Peripherals) — Marvin</v>
      </c>
      <c r="F19" s="3" t="str">
        <f>IFERROR(INDEX('Invite Builder'!$I:$I,ROW()-3),"")</f>
        <v>HQ → CCMC</v>
      </c>
      <c r="G19" s="3" t="str">
        <f>IFERROR(INDEX('Invite Builder'!$G:$G,ROW()-3),"")</f>
        <v>Marvin Tate</v>
      </c>
      <c r="H19" s="3" t="str">
        <f>IFERROR(INDEX('Invite Builder'!$H:$H,ROW()-3),"")</f>
        <v>Richard Perez</v>
      </c>
      <c r="I19" s="3">
        <f>IFERROR(INDEX('Invite Builder'!$T:$T,ROW()-3),"")</f>
        <v>0</v>
      </c>
      <c r="J19" s="8"/>
      <c r="K19" s="58"/>
      <c r="L19" s="53"/>
      <c r="M19" s="53"/>
      <c r="N19" s="53"/>
      <c r="O19" s="53"/>
      <c r="P19" s="53"/>
      <c r="Q19" s="59"/>
    </row>
    <row r="20" spans="1:17">
      <c r="A20" s="3" t="str">
        <f>IFERROR(INDEX('Invite Builder'!$A:$A,ROW()-3),"")</f>
        <v>MT-2026-02-14</v>
      </c>
      <c r="B20" s="3">
        <f>IFERROR(INDEX('Invite Builder'!$C:$C,ROW()-3),"")</f>
        <v>46067</v>
      </c>
      <c r="C20" s="3">
        <f>IFERROR(INDEX('Invite Builder'!$D:$D,ROW()-3),"")</f>
        <v>0.58333333333333337</v>
      </c>
      <c r="D20" s="3">
        <f>IFERROR(INDEX('Invite Builder'!$E:$E,ROW()-3),"")</f>
        <v>0.75</v>
      </c>
      <c r="E20" s="3" t="str">
        <f>IFERROR(INDEX('Invite Builder'!$B:$B,ROW()-3),"")</f>
        <v>CCMC — Site Disposal (Post-Deployment) — Marvin Lead</v>
      </c>
      <c r="F20" s="3" t="str">
        <f>IFERROR(INDEX('Invite Builder'!$I:$I,ROW()-3),"")</f>
        <v>CCMC</v>
      </c>
      <c r="G20" s="3" t="str">
        <f>IFERROR(INDEX('Invite Builder'!$G:$G,ROW()-3),"")</f>
        <v>Marvin Tate</v>
      </c>
      <c r="H20" s="3" t="str">
        <f>IFERROR(INDEX('Invite Builder'!$H:$H,ROW()-3),"")</f>
        <v>Rich Perez; Tim Seeberger</v>
      </c>
      <c r="I20" s="3">
        <f>IFERROR(INDEX('Invite Builder'!$T:$T,ROW()-3),"")</f>
        <v>0</v>
      </c>
      <c r="J20" s="8"/>
      <c r="K20" s="58"/>
      <c r="L20" s="53"/>
      <c r="M20" s="53"/>
      <c r="N20" s="53"/>
      <c r="O20" s="53"/>
      <c r="P20" s="53"/>
      <c r="Q20" s="59"/>
    </row>
    <row r="21" spans="1:17">
      <c r="A21" s="3" t="str">
        <f>IFERROR(INDEX('Invite Builder'!$A:$A,ROW()-3),"")</f>
        <v>AP-2026-02-21</v>
      </c>
      <c r="B21" s="3">
        <f>IFERROR(INDEX('Invite Builder'!$C:$C,ROW()-3),"")</f>
        <v>46074</v>
      </c>
      <c r="C21" s="3">
        <f>IFERROR(INDEX('Invite Builder'!$D:$D,ROW()-3),"")</f>
        <v>0.33333333333333331</v>
      </c>
      <c r="D21" s="3">
        <f>IFERROR(INDEX('Invite Builder'!$E:$E,ROW()-3),"")</f>
        <v>0.75</v>
      </c>
      <c r="E21" s="3" t="str">
        <f>IFERROR(INDEX('Invite Builder'!$B:$B,ROW()-3),"")</f>
        <v>LIJ ORs - Cybernet + GCX Arm Deployment (Day 1 of 2)</v>
      </c>
      <c r="F21" s="3" t="str">
        <f>IFERROR(INDEX('Invite Builder'!$I:$I,ROW()-3),"")</f>
        <v>LIJ Main - OR Suite</v>
      </c>
      <c r="G21" s="3" t="str">
        <f>IFERROR(INDEX('Invite Builder'!$G:$G,ROW()-3),"")</f>
        <v>Alejandro Perales; Patricia Marrero; Valentyn Nykoliuk; Marvin Tate</v>
      </c>
      <c r="H21" s="3" t="str">
        <f>IFERROR(INDEX('Invite Builder'!$H:$H,ROW()-3),"")</f>
        <v>Rich Perez; Tim Seeberger</v>
      </c>
      <c r="I21" s="3">
        <f>IFERROR(INDEX('Invite Builder'!$T:$T,ROW()-3),"")</f>
        <v>0</v>
      </c>
      <c r="J21" s="8"/>
      <c r="K21" s="58"/>
      <c r="L21" s="53"/>
      <c r="M21" s="53"/>
      <c r="N21" s="53"/>
      <c r="O21" s="53"/>
      <c r="P21" s="53"/>
      <c r="Q21" s="59"/>
    </row>
    <row r="22" spans="1:17">
      <c r="A22" s="3" t="str">
        <f>IFERROR(INDEX('Invite Builder'!$A:$A,ROW()-3),"")</f>
        <v>AP-2026-02-22</v>
      </c>
      <c r="B22" s="3">
        <f>IFERROR(INDEX('Invite Builder'!$C:$C,ROW()-3),"")</f>
        <v>46075</v>
      </c>
      <c r="C22" s="3">
        <f>IFERROR(INDEX('Invite Builder'!$D:$D,ROW()-3),"")</f>
        <v>0.33333333333333331</v>
      </c>
      <c r="D22" s="3">
        <f>IFERROR(INDEX('Invite Builder'!$E:$E,ROW()-3),"")</f>
        <v>0.75</v>
      </c>
      <c r="E22" s="3" t="str">
        <f>IFERROR(INDEX('Invite Builder'!$B:$B,ROW()-3),"")</f>
        <v>LIJ ORs - Cybernet + GCX Arm Deployment (Day 2 of 2)</v>
      </c>
      <c r="F22" s="3" t="str">
        <f>IFERROR(INDEX('Invite Builder'!$I:$I,ROW()-3),"")</f>
        <v>LIJ Main - OR Suite</v>
      </c>
      <c r="G22" s="3" t="str">
        <f>IFERROR(INDEX('Invite Builder'!$G:$G,ROW()-3),"")</f>
        <v>Alejandro Perales; Chris Cummings; Patricia Marrero; Delroy Harris; Valentyn Nykoliuk</v>
      </c>
      <c r="H22" s="3" t="str">
        <f>IFERROR(INDEX('Invite Builder'!$H:$H,ROW()-3),"")</f>
        <v>Rich Perez; Tim Seeberger</v>
      </c>
      <c r="I22" s="3">
        <f>IFERROR(INDEX('Invite Builder'!$T:$T,ROW()-3),"")</f>
        <v>0</v>
      </c>
      <c r="J22" s="8"/>
      <c r="K22" s="58"/>
      <c r="L22" s="53"/>
      <c r="M22" s="53"/>
      <c r="N22" s="53"/>
      <c r="O22" s="53"/>
      <c r="P22" s="53"/>
      <c r="Q22" s="59"/>
    </row>
    <row r="23" spans="1:17">
      <c r="A23" s="3" t="str">
        <f>IFERROR(INDEX('Invite Builder'!$A:$A,ROW()-3),"")</f>
        <v>DD-2026-02-26</v>
      </c>
      <c r="B23" s="3">
        <f>IFERROR(INDEX('Invite Builder'!$C:$C,ROW()-3),"")</f>
        <v>46079</v>
      </c>
      <c r="C23" s="3">
        <f>IFERROR(INDEX('Invite Builder'!$D:$D,ROW()-3),"")</f>
        <v>0.375</v>
      </c>
      <c r="D23" s="3">
        <f>IFERROR(INDEX('Invite Builder'!$E:$E,ROW()-3),"")</f>
        <v>0.70833333333333337</v>
      </c>
      <c r="E23" s="3" t="str">
        <f>IFERROR(INDEX('Invite Builder'!$B:$B,ROW()-3),"")</f>
        <v>LIJ - Deployment Kit Delivery + Staging (Day 1 of 2)</v>
      </c>
      <c r="F23" s="3" t="str">
        <f>IFERROR(INDEX('Invite Builder'!$I:$I,ROW()-3),"")</f>
        <v>LIJ Main - Procedural Areas + Annex</v>
      </c>
      <c r="G23" s="3" t="str">
        <f>IFERROR(INDEX('Invite Builder'!$G:$G,ROW()-3),"")</f>
        <v>Deployment Delivery; Marvin Tate; Alejandro Perales</v>
      </c>
      <c r="H23" s="3" t="str">
        <f>IFERROR(INDEX('Invite Builder'!$H:$H,ROW()-3),"")</f>
        <v>Rich Perez; Tim Seeberger</v>
      </c>
      <c r="I23" s="3">
        <f>IFERROR(INDEX('Invite Builder'!$T:$T,ROW()-3),"")</f>
        <v>0</v>
      </c>
      <c r="J23" s="8"/>
      <c r="K23" s="58"/>
      <c r="L23" s="53"/>
      <c r="M23" s="53"/>
      <c r="N23" s="53"/>
      <c r="O23" s="53"/>
      <c r="P23" s="53"/>
      <c r="Q23" s="59"/>
    </row>
    <row r="24" spans="1:17">
      <c r="A24" s="3" t="str">
        <f>IFERROR(INDEX('Invite Builder'!$A:$A,ROW()-3),"")</f>
        <v>DD-2026-02-27</v>
      </c>
      <c r="B24" s="3">
        <f>IFERROR(INDEX('Invite Builder'!$C:$C,ROW()-3),"")</f>
        <v>46080</v>
      </c>
      <c r="C24" s="3">
        <f>IFERROR(INDEX('Invite Builder'!$D:$D,ROW()-3),"")</f>
        <v>0.375</v>
      </c>
      <c r="D24" s="3">
        <f>IFERROR(INDEX('Invite Builder'!$E:$E,ROW()-3),"")</f>
        <v>0.70833333333333337</v>
      </c>
      <c r="E24" s="3" t="str">
        <f>IFERROR(INDEX('Invite Builder'!$B:$B,ROW()-3),"")</f>
        <v>LIJ - Deployment Kit Delivery + Staging (Day 2 of 2)</v>
      </c>
      <c r="F24" s="3" t="str">
        <f>IFERROR(INDEX('Invite Builder'!$I:$I,ROW()-3),"")</f>
        <v>LIJ Main - Procedural Areas + Annex</v>
      </c>
      <c r="G24" s="3" t="str">
        <f>IFERROR(INDEX('Invite Builder'!$G:$G,ROW()-3),"")</f>
        <v>Deployment Delivery; Marvin Tate; Alejandro Perales</v>
      </c>
      <c r="H24" s="3" t="str">
        <f>IFERROR(INDEX('Invite Builder'!$H:$H,ROW()-3),"")</f>
        <v>Rich Perez; Tim Seeberger</v>
      </c>
      <c r="I24" s="3">
        <f>IFERROR(INDEX('Invite Builder'!$T:$T,ROW()-3),"")</f>
        <v>0</v>
      </c>
      <c r="J24" s="8"/>
      <c r="K24" s="58"/>
      <c r="L24" s="53"/>
      <c r="M24" s="53"/>
      <c r="N24" s="53"/>
      <c r="O24" s="53"/>
      <c r="P24" s="53"/>
      <c r="Q24" s="59"/>
    </row>
    <row r="25" spans="1:17">
      <c r="A25" s="3" t="str">
        <f>IFERROR(INDEX('Invite Builder'!$A:$A,ROW()-3),"")</f>
        <v>AP-2026-02-28</v>
      </c>
      <c r="B25" s="3">
        <f>IFERROR(INDEX('Invite Builder'!$C:$C,ROW()-3),"")</f>
        <v>46081</v>
      </c>
      <c r="C25" s="3">
        <f>IFERROR(INDEX('Invite Builder'!$D:$D,ROW()-3),"")</f>
        <v>0.33333333333333331</v>
      </c>
      <c r="D25" s="3">
        <f>IFERROR(INDEX('Invite Builder'!$E:$E,ROW()-3),"")</f>
        <v>0.75</v>
      </c>
      <c r="E25" s="3" t="str">
        <f>IFERROR(INDEX('Invite Builder'!$B:$B,ROW()-3),"")</f>
        <v>LIJ ORs - Cybernet + GCX Arm Deployment (Day 1 of 2)</v>
      </c>
      <c r="F25" s="3" t="str">
        <f>IFERROR(INDEX('Invite Builder'!$I:$I,ROW()-3),"")</f>
        <v>LIJ Main - Procedural Areas</v>
      </c>
      <c r="G25" s="3" t="str">
        <f>IFERROR(INDEX('Invite Builder'!$G:$G,ROW()-3),"")</f>
        <v>Alejandro Perales; Patricia Marrero; Valentyn Nykoliuk; Marvin Tate</v>
      </c>
      <c r="H25" s="3" t="str">
        <f>IFERROR(INDEX('Invite Builder'!$H:$H,ROW()-3),"")</f>
        <v>Rich Perez; Tim Seeberger</v>
      </c>
      <c r="I25" s="3">
        <f>IFERROR(INDEX('Invite Builder'!$T:$T,ROW()-3),"")</f>
        <v>0</v>
      </c>
      <c r="J25" s="8"/>
      <c r="K25" s="58"/>
      <c r="L25" s="53"/>
      <c r="M25" s="53"/>
      <c r="N25" s="53"/>
      <c r="O25" s="53"/>
      <c r="P25" s="53"/>
      <c r="Q25" s="59"/>
    </row>
    <row r="26" spans="1:17">
      <c r="A26" s="3" t="str">
        <f>IFERROR(INDEX('Invite Builder'!$A:$A,ROW()-3),"")</f>
        <v>AP-2026-03-01</v>
      </c>
      <c r="B26" s="3">
        <f>IFERROR(INDEX('Invite Builder'!$C:$C,ROW()-3),"")</f>
        <v>46082</v>
      </c>
      <c r="C26" s="3">
        <f>IFERROR(INDEX('Invite Builder'!$D:$D,ROW()-3),"")</f>
        <v>0.33333333333333331</v>
      </c>
      <c r="D26" s="3">
        <f>IFERROR(INDEX('Invite Builder'!$E:$E,ROW()-3),"")</f>
        <v>0.75</v>
      </c>
      <c r="E26" s="3" t="str">
        <f>IFERROR(INDEX('Invite Builder'!$B:$B,ROW()-3),"")</f>
        <v>LIJ ORs - Cybernet + GCX Arm Deployment (Day 2 of 2)</v>
      </c>
      <c r="F26" s="3" t="str">
        <f>IFERROR(INDEX('Invite Builder'!$I:$I,ROW()-3),"")</f>
        <v>LIJ Main - Annex Area</v>
      </c>
      <c r="G26" s="3" t="str">
        <f>IFERROR(INDEX('Invite Builder'!$G:$G,ROW()-3),"")</f>
        <v>Alejandro Perales; Chris Cummings; Patricia Marrero; Delroy Harris; Valentyn Nykoliuk</v>
      </c>
      <c r="H26" s="3" t="str">
        <f>IFERROR(INDEX('Invite Builder'!$H:$H,ROW()-3),"")</f>
        <v>Rich Perez; Tim Seeberger</v>
      </c>
      <c r="I26" s="3">
        <f>IFERROR(INDEX('Invite Builder'!$T:$T,ROW()-3),"")</f>
        <v>0</v>
      </c>
      <c r="J26" s="8"/>
      <c r="K26" s="58"/>
      <c r="L26" s="53"/>
      <c r="M26" s="53"/>
      <c r="N26" s="53"/>
      <c r="O26" s="53"/>
      <c r="P26" s="53"/>
      <c r="Q26" s="59"/>
    </row>
    <row r="27" spans="1:17">
      <c r="A27" s="3" t="str">
        <f>IFERROR(INDEX('Invite Builder'!$A:$A,ROW()-3),"")</f>
        <v>NC-2026-03-02</v>
      </c>
      <c r="B27" s="3">
        <f>IFERROR(INDEX('Invite Builder'!$C:$C,ROW()-3),"")</f>
        <v>46083</v>
      </c>
      <c r="C27" s="3">
        <f>IFERROR(INDEX('Invite Builder'!$D:$D,ROW()-3),"")</f>
        <v>0.4375</v>
      </c>
      <c r="D27" s="3">
        <f>IFERROR(INDEX('Invite Builder'!$E:$E,ROW()-3),"")</f>
        <v>0.625</v>
      </c>
      <c r="E27" s="3" t="str">
        <f>IFERROR(INDEX('Invite Builder'!$B:$B,ROW()-3),"")</f>
        <v>LIJ SDF - Neuron Capsule Variable Testing</v>
      </c>
      <c r="F27" s="3" t="str">
        <f>IFERROR(INDEX('Invite Builder'!$I:$I,ROW()-3),"")</f>
        <v>LIJ SDF - Satellite Dialysis Facility</v>
      </c>
      <c r="G27" s="3" t="str">
        <f>IFERROR(INDEX('Invite Builder'!$G:$G,ROW()-3),"")</f>
        <v>Neuron Capsules; LIJ SDF Tech</v>
      </c>
      <c r="H27" s="3" t="str">
        <f>IFERROR(INDEX('Invite Builder'!$H:$H,ROW()-3),"")</f>
        <v>Jay Hernandez; Rich Perez</v>
      </c>
      <c r="I27" s="3">
        <f>IFERROR(INDEX('Invite Builder'!$T:$T,ROW()-3),"")</f>
        <v>0</v>
      </c>
      <c r="J27" s="8"/>
      <c r="K27" s="58"/>
      <c r="L27" s="53"/>
      <c r="M27" s="53"/>
      <c r="N27" s="53"/>
      <c r="O27" s="53"/>
      <c r="P27" s="53"/>
      <c r="Q27" s="59"/>
    </row>
    <row r="28" spans="1:17">
      <c r="A28" s="3" t="str">
        <f>IFERROR(INDEX('Invite Builder'!$A:$A,ROW()-3),"")</f>
        <v>PM-2026-02-24</v>
      </c>
      <c r="B28" s="3">
        <f>IFERROR(INDEX('Invite Builder'!$C:$C,ROW()-3),"")</f>
        <v>46077</v>
      </c>
      <c r="C28" s="3">
        <f>IFERROR(INDEX('Invite Builder'!$D:$D,ROW()-3),"")</f>
        <v>0.33333333333333331</v>
      </c>
      <c r="D28" s="3">
        <f>IFERROR(INDEX('Invite Builder'!$E:$E,ROW()-3),"")</f>
        <v>0.70833333333333337</v>
      </c>
      <c r="E28" s="3" t="str">
        <f>IFERROR(INDEX('Invite Builder'!$B:$B,ROW()-3),"")</f>
        <v>LIJ - iPhones Team Coverage (Patricia Marrero onsite)</v>
      </c>
      <c r="F28" s="3" t="str">
        <f>IFERROR(INDEX('Invite Builder'!$I:$I,ROW()-3),"")</f>
        <v>LIJ</v>
      </c>
      <c r="G28" s="3" t="str">
        <f>IFERROR(INDEX('Invite Builder'!$G:$G,ROW()-3),"")</f>
        <v>Patricia Marrero</v>
      </c>
      <c r="H28" s="3" t="str">
        <f>IFERROR(INDEX('Invite Builder'!$H:$H,ROW()-3),"")</f>
        <v>Nicholas Valentin (remote); Jay Hernandez</v>
      </c>
      <c r="I28" s="3">
        <f>IFERROR(INDEX('Invite Builder'!$T:$T,ROW()-3),"")</f>
        <v>0</v>
      </c>
      <c r="J28" s="8"/>
      <c r="K28" s="60"/>
      <c r="L28" s="61"/>
      <c r="M28" s="61"/>
      <c r="N28" s="61"/>
      <c r="O28" s="61"/>
      <c r="P28" s="61"/>
      <c r="Q28" s="62"/>
    </row>
    <row r="29" spans="1:17">
      <c r="A29" s="3" t="str">
        <f>IFERROR(INDEX('Invite Builder'!$A:$A,ROW()-3),"")</f>
        <v>CH-2026-02-25</v>
      </c>
      <c r="B29" s="3">
        <f>IFERROR(INDEX('Invite Builder'!$C:$C,ROW()-3),"")</f>
        <v>46078</v>
      </c>
      <c r="C29" s="3">
        <f>IFERROR(INDEX('Invite Builder'!$D:$D,ROW()-3),"")</f>
        <v>0.33333333333333331</v>
      </c>
      <c r="D29" s="3">
        <f>IFERROR(INDEX('Invite Builder'!$E:$E,ROW()-3),"")</f>
        <v>0.70833333333333337</v>
      </c>
      <c r="E29" s="3" t="str">
        <f>IFERROR(INDEX('Invite Builder'!$B:$B,ROW()-3),"")</f>
        <v>LIJ - iPhones Team Coverage (Cyen Heyliger onsite)</v>
      </c>
      <c r="F29" s="3" t="str">
        <f>IFERROR(INDEX('Invite Builder'!$I:$I,ROW()-3),"")</f>
        <v>LIJ</v>
      </c>
      <c r="G29" s="3" t="str">
        <f>IFERROR(INDEX('Invite Builder'!$G:$G,ROW()-3),"")</f>
        <v>Cyen Heyliger</v>
      </c>
      <c r="H29" s="3" t="str">
        <f>IFERROR(INDEX('Invite Builder'!$H:$H,ROW()-3),"")</f>
        <v>Jay Hernandez</v>
      </c>
      <c r="I29" s="3">
        <f>IFERROR(INDEX('Invite Builder'!$T:$T,ROW()-3),"")</f>
        <v>0</v>
      </c>
      <c r="J29" s="8"/>
      <c r="K29" s="8"/>
      <c r="L29" s="8"/>
      <c r="M29" s="8"/>
      <c r="N29" s="8"/>
      <c r="O29" s="8"/>
      <c r="P29" s="8"/>
      <c r="Q29" s="8"/>
    </row>
    <row r="30" spans="1:17">
      <c r="A30" s="3" t="str">
        <f>IFERROR(INDEX('Invite Builder'!$A:$A,ROW()-3),"")</f>
        <v>PM-2026-02-26</v>
      </c>
      <c r="B30" s="3">
        <f>IFERROR(INDEX('Invite Builder'!$C:$C,ROW()-3),"")</f>
        <v>46079</v>
      </c>
      <c r="C30" s="3">
        <f>IFERROR(INDEX('Invite Builder'!$D:$D,ROW()-3),"")</f>
        <v>0.33333333333333331</v>
      </c>
      <c r="D30" s="3">
        <f>IFERROR(INDEX('Invite Builder'!$E:$E,ROW()-3),"")</f>
        <v>0.70833333333333337</v>
      </c>
      <c r="E30" s="3" t="str">
        <f>IFERROR(INDEX('Invite Builder'!$B:$B,ROW()-3),"")</f>
        <v>LIJ - iPhones Team Coverage (Patricia Marrero onsite)</v>
      </c>
      <c r="F30" s="3" t="str">
        <f>IFERROR(INDEX('Invite Builder'!$I:$I,ROW()-3),"")</f>
        <v>LIJ</v>
      </c>
      <c r="G30" s="3" t="str">
        <f>IFERROR(INDEX('Invite Builder'!$G:$G,ROW()-3),"")</f>
        <v>Patricia Marrero</v>
      </c>
      <c r="H30" s="3" t="str">
        <f>IFERROR(INDEX('Invite Builder'!$H:$H,ROW()-3),"")</f>
        <v>Jay Hernandez</v>
      </c>
      <c r="I30" s="3">
        <f>IFERROR(INDEX('Invite Builder'!$T:$T,ROW()-3),"")</f>
        <v>0</v>
      </c>
      <c r="J30" s="8"/>
      <c r="K30" s="8"/>
      <c r="L30" s="8"/>
      <c r="M30" s="8"/>
      <c r="N30" s="8"/>
      <c r="O30" s="8"/>
      <c r="P30" s="8"/>
      <c r="Q30" s="8"/>
    </row>
    <row r="31" spans="1:17">
      <c r="A31" s="3" t="str">
        <f>IFERROR(INDEX('Invite Builder'!$A:$A,ROW()-3),"")</f>
        <v>CH-2026-02-27</v>
      </c>
      <c r="B31" s="3">
        <f>IFERROR(INDEX('Invite Builder'!$C:$C,ROW()-3),"")</f>
        <v>46080</v>
      </c>
      <c r="C31" s="3">
        <f>IFERROR(INDEX('Invite Builder'!$D:$D,ROW()-3),"")</f>
        <v>0.33333333333333331</v>
      </c>
      <c r="D31" s="3">
        <f>IFERROR(INDEX('Invite Builder'!$E:$E,ROW()-3),"")</f>
        <v>0.70833333333333337</v>
      </c>
      <c r="E31" s="3" t="str">
        <f>IFERROR(INDEX('Invite Builder'!$B:$B,ROW()-3),"")</f>
        <v>LIJ - iPhones Team Coverage (Cyen Heyliger onsite)</v>
      </c>
      <c r="F31" s="3" t="str">
        <f>IFERROR(INDEX('Invite Builder'!$I:$I,ROW()-3),"")</f>
        <v>LIJ</v>
      </c>
      <c r="G31" s="3" t="str">
        <f>IFERROR(INDEX('Invite Builder'!$G:$G,ROW()-3),"")</f>
        <v>Cyen Heyliger</v>
      </c>
      <c r="H31" s="3" t="str">
        <f>IFERROR(INDEX('Invite Builder'!$H:$H,ROW()-3),"")</f>
        <v>Jay Hernandez</v>
      </c>
      <c r="I31" s="3">
        <f>IFERROR(INDEX('Invite Builder'!$T:$T,ROW()-3),"")</f>
        <v>0</v>
      </c>
      <c r="J31" s="8"/>
      <c r="K31" s="8"/>
      <c r="L31" s="8"/>
      <c r="M31" s="8"/>
      <c r="N31" s="8"/>
      <c r="O31" s="8"/>
      <c r="P31" s="8"/>
      <c r="Q31" s="8"/>
    </row>
    <row r="32" spans="1:17">
      <c r="A32" s="3" t="str">
        <f>IFERROR(INDEX('Invite Builder'!$A:$A,ROW()-3),"")</f>
        <v/>
      </c>
      <c r="B32" s="3">
        <f>IFERROR(INDEX('Invite Builder'!$C:$C,ROW()-3),"")</f>
        <v>0</v>
      </c>
      <c r="C32" s="3">
        <f>IFERROR(INDEX('Invite Builder'!$D:$D,ROW()-3),"")</f>
        <v>0</v>
      </c>
      <c r="D32" s="3">
        <f>IFERROR(INDEX('Invite Builder'!$E:$E,ROW()-3),"")</f>
        <v>0</v>
      </c>
      <c r="E32" s="3">
        <f>IFERROR(INDEX('Invite Builder'!$B:$B,ROW()-3),"")</f>
        <v>0</v>
      </c>
      <c r="F32" s="3">
        <f>IFERROR(INDEX('Invite Builder'!$I:$I,ROW()-3),"")</f>
        <v>0</v>
      </c>
      <c r="G32" s="3">
        <f>IFERROR(INDEX('Invite Builder'!$G:$G,ROW()-3),"")</f>
        <v>0</v>
      </c>
      <c r="H32" s="3">
        <f>IFERROR(INDEX('Invite Builder'!$H:$H,ROW()-3),"")</f>
        <v>0</v>
      </c>
      <c r="I32" s="3">
        <f>IFERROR(INDEX('Invite Builder'!$T:$T,ROW()-3),"")</f>
        <v>0</v>
      </c>
      <c r="J32" s="8"/>
      <c r="K32" s="8"/>
      <c r="L32" s="8"/>
      <c r="M32" s="8"/>
      <c r="N32" s="8"/>
      <c r="O32" s="8"/>
      <c r="P32" s="8"/>
      <c r="Q32" s="8"/>
    </row>
    <row r="33" spans="1:9">
      <c r="A33" s="3" t="str">
        <f>IFERROR(INDEX('Invite Builder'!$A:$A,ROW()-3),"")</f>
        <v/>
      </c>
      <c r="B33" s="3">
        <f>IFERROR(INDEX('Invite Builder'!$C:$C,ROW()-3),"")</f>
        <v>0</v>
      </c>
      <c r="C33" s="3">
        <f>IFERROR(INDEX('Invite Builder'!$D:$D,ROW()-3),"")</f>
        <v>0</v>
      </c>
      <c r="D33" s="3">
        <f>IFERROR(INDEX('Invite Builder'!$E:$E,ROW()-3),"")</f>
        <v>0</v>
      </c>
      <c r="E33" s="3">
        <f>IFERROR(INDEX('Invite Builder'!$B:$B,ROW()-3),"")</f>
        <v>0</v>
      </c>
      <c r="F33" s="3">
        <f>IFERROR(INDEX('Invite Builder'!$I:$I,ROW()-3),"")</f>
        <v>0</v>
      </c>
      <c r="G33" s="3">
        <f>IFERROR(INDEX('Invite Builder'!$G:$G,ROW()-3),"")</f>
        <v>0</v>
      </c>
      <c r="H33" s="3">
        <f>IFERROR(INDEX('Invite Builder'!$H:$H,ROW()-3),"")</f>
        <v>0</v>
      </c>
      <c r="I33" s="3">
        <f>IFERROR(INDEX('Invite Builder'!$T:$T,ROW()-3),"")</f>
        <v>0</v>
      </c>
    </row>
    <row r="34" spans="1:9">
      <c r="A34" s="3" t="str">
        <f>IFERROR(INDEX('Invite Builder'!$A:$A,ROW()-3),"")</f>
        <v/>
      </c>
      <c r="B34" s="3">
        <f>IFERROR(INDEX('Invite Builder'!$C:$C,ROW()-3),"")</f>
        <v>0</v>
      </c>
      <c r="C34" s="3">
        <f>IFERROR(INDEX('Invite Builder'!$D:$D,ROW()-3),"")</f>
        <v>0</v>
      </c>
      <c r="D34" s="3">
        <f>IFERROR(INDEX('Invite Builder'!$E:$E,ROW()-3),"")</f>
        <v>0</v>
      </c>
      <c r="E34" s="3">
        <f>IFERROR(INDEX('Invite Builder'!$B:$B,ROW()-3),"")</f>
        <v>0</v>
      </c>
      <c r="F34" s="3">
        <f>IFERROR(INDEX('Invite Builder'!$I:$I,ROW()-3),"")</f>
        <v>0</v>
      </c>
      <c r="G34" s="3">
        <f>IFERROR(INDEX('Invite Builder'!$G:$G,ROW()-3),"")</f>
        <v>0</v>
      </c>
      <c r="H34" s="3">
        <f>IFERROR(INDEX('Invite Builder'!$H:$H,ROW()-3),"")</f>
        <v>0</v>
      </c>
      <c r="I34" s="3">
        <f>IFERROR(INDEX('Invite Builder'!$T:$T,ROW()-3),"")</f>
        <v>0</v>
      </c>
    </row>
    <row r="35" spans="1:9">
      <c r="A35" s="3" t="str">
        <f>IFERROR(INDEX('Invite Builder'!$A:$A,ROW()-3),"")</f>
        <v/>
      </c>
      <c r="B35" s="3">
        <f>IFERROR(INDEX('Invite Builder'!$C:$C,ROW()-3),"")</f>
        <v>0</v>
      </c>
      <c r="C35" s="3">
        <f>IFERROR(INDEX('Invite Builder'!$D:$D,ROW()-3),"")</f>
        <v>0</v>
      </c>
      <c r="D35" s="3">
        <f>IFERROR(INDEX('Invite Builder'!$E:$E,ROW()-3),"")</f>
        <v>0</v>
      </c>
      <c r="E35" s="3">
        <f>IFERROR(INDEX('Invite Builder'!$B:$B,ROW()-3),"")</f>
        <v>0</v>
      </c>
      <c r="F35" s="3">
        <f>IFERROR(INDEX('Invite Builder'!$I:$I,ROW()-3),"")</f>
        <v>0</v>
      </c>
      <c r="G35" s="3">
        <f>IFERROR(INDEX('Invite Builder'!$G:$G,ROW()-3),"")</f>
        <v>0</v>
      </c>
      <c r="H35" s="3">
        <f>IFERROR(INDEX('Invite Builder'!$H:$H,ROW()-3),"")</f>
        <v>0</v>
      </c>
      <c r="I35" s="3">
        <f>IFERROR(INDEX('Invite Builder'!$T:$T,ROW()-3),"")</f>
        <v>0</v>
      </c>
    </row>
    <row r="36" spans="1:9">
      <c r="A36" s="3" t="str">
        <f>IFERROR(INDEX('Invite Builder'!$A:$A,ROW()-3),"")</f>
        <v/>
      </c>
      <c r="B36" s="3">
        <f>IFERROR(INDEX('Invite Builder'!$C:$C,ROW()-3),"")</f>
        <v>0</v>
      </c>
      <c r="C36" s="3">
        <f>IFERROR(INDEX('Invite Builder'!$D:$D,ROW()-3),"")</f>
        <v>0</v>
      </c>
      <c r="D36" s="3">
        <f>IFERROR(INDEX('Invite Builder'!$E:$E,ROW()-3),"")</f>
        <v>0</v>
      </c>
      <c r="E36" s="3">
        <f>IFERROR(INDEX('Invite Builder'!$B:$B,ROW()-3),"")</f>
        <v>0</v>
      </c>
      <c r="F36" s="3">
        <f>IFERROR(INDEX('Invite Builder'!$I:$I,ROW()-3),"")</f>
        <v>0</v>
      </c>
      <c r="G36" s="3">
        <f>IFERROR(INDEX('Invite Builder'!$G:$G,ROW()-3),"")</f>
        <v>0</v>
      </c>
      <c r="H36" s="3">
        <f>IFERROR(INDEX('Invite Builder'!$H:$H,ROW()-3),"")</f>
        <v>0</v>
      </c>
      <c r="I36" s="3">
        <f>IFERROR(INDEX('Invite Builder'!$T:$T,ROW()-3),"")</f>
        <v>0</v>
      </c>
    </row>
    <row r="37" spans="1:9">
      <c r="A37" s="3" t="str">
        <f>IFERROR(INDEX('Invite Builder'!$A:$A,ROW()-3),"")</f>
        <v/>
      </c>
      <c r="B37" s="3">
        <f>IFERROR(INDEX('Invite Builder'!$C:$C,ROW()-3),"")</f>
        <v>0</v>
      </c>
      <c r="C37" s="3">
        <f>IFERROR(INDEX('Invite Builder'!$D:$D,ROW()-3),"")</f>
        <v>0</v>
      </c>
      <c r="D37" s="3">
        <f>IFERROR(INDEX('Invite Builder'!$E:$E,ROW()-3),"")</f>
        <v>0</v>
      </c>
      <c r="E37" s="3">
        <f>IFERROR(INDEX('Invite Builder'!$B:$B,ROW()-3),"")</f>
        <v>0</v>
      </c>
      <c r="F37" s="3">
        <f>IFERROR(INDEX('Invite Builder'!$I:$I,ROW()-3),"")</f>
        <v>0</v>
      </c>
      <c r="G37" s="3">
        <f>IFERROR(INDEX('Invite Builder'!$G:$G,ROW()-3),"")</f>
        <v>0</v>
      </c>
      <c r="H37" s="3">
        <f>IFERROR(INDEX('Invite Builder'!$H:$H,ROW()-3),"")</f>
        <v>0</v>
      </c>
      <c r="I37" s="3">
        <f>IFERROR(INDEX('Invite Builder'!$T:$T,ROW()-3),"")</f>
        <v>0</v>
      </c>
    </row>
    <row r="38" spans="1:9">
      <c r="A38" s="3" t="str">
        <f>IFERROR(INDEX('Invite Builder'!$A:$A,ROW()-3),"")</f>
        <v/>
      </c>
      <c r="B38" s="3">
        <f>IFERROR(INDEX('Invite Builder'!$C:$C,ROW()-3),"")</f>
        <v>0</v>
      </c>
      <c r="C38" s="3">
        <f>IFERROR(INDEX('Invite Builder'!$D:$D,ROW()-3),"")</f>
        <v>0</v>
      </c>
      <c r="D38" s="3">
        <f>IFERROR(INDEX('Invite Builder'!$E:$E,ROW()-3),"")</f>
        <v>0</v>
      </c>
      <c r="E38" s="3">
        <f>IFERROR(INDEX('Invite Builder'!$B:$B,ROW()-3),"")</f>
        <v>0</v>
      </c>
      <c r="F38" s="3">
        <f>IFERROR(INDEX('Invite Builder'!$I:$I,ROW()-3),"")</f>
        <v>0</v>
      </c>
      <c r="G38" s="3">
        <f>IFERROR(INDEX('Invite Builder'!$G:$G,ROW()-3),"")</f>
        <v>0</v>
      </c>
      <c r="H38" s="3">
        <f>IFERROR(INDEX('Invite Builder'!$H:$H,ROW()-3),"")</f>
        <v>0</v>
      </c>
      <c r="I38" s="3">
        <f>IFERROR(INDEX('Invite Builder'!$T:$T,ROW()-3),"")</f>
        <v>0</v>
      </c>
    </row>
    <row r="39" spans="1:9">
      <c r="A39" s="3" t="str">
        <f>IFERROR(INDEX('Invite Builder'!$A:$A,ROW()-3),"")</f>
        <v/>
      </c>
      <c r="B39" s="3">
        <f>IFERROR(INDEX('Invite Builder'!$C:$C,ROW()-3),"")</f>
        <v>0</v>
      </c>
      <c r="C39" s="3">
        <f>IFERROR(INDEX('Invite Builder'!$D:$D,ROW()-3),"")</f>
        <v>0</v>
      </c>
      <c r="D39" s="3">
        <f>IFERROR(INDEX('Invite Builder'!$E:$E,ROW()-3),"")</f>
        <v>0</v>
      </c>
      <c r="E39" s="3">
        <f>IFERROR(INDEX('Invite Builder'!$B:$B,ROW()-3),"")</f>
        <v>0</v>
      </c>
      <c r="F39" s="3">
        <f>IFERROR(INDEX('Invite Builder'!$I:$I,ROW()-3),"")</f>
        <v>0</v>
      </c>
      <c r="G39" s="3">
        <f>IFERROR(INDEX('Invite Builder'!$G:$G,ROW()-3),"")</f>
        <v>0</v>
      </c>
      <c r="H39" s="3">
        <f>IFERROR(INDEX('Invite Builder'!$H:$H,ROW()-3),"")</f>
        <v>0</v>
      </c>
      <c r="I39" s="3">
        <f>IFERROR(INDEX('Invite Builder'!$T:$T,ROW()-3),"")</f>
        <v>0</v>
      </c>
    </row>
    <row r="40" spans="1:9">
      <c r="A40" s="3" t="str">
        <f>IFERROR(INDEX('Invite Builder'!$A:$A,ROW()-3),"")</f>
        <v/>
      </c>
      <c r="B40" s="3">
        <f>IFERROR(INDEX('Invite Builder'!$C:$C,ROW()-3),"")</f>
        <v>0</v>
      </c>
      <c r="C40" s="3">
        <f>IFERROR(INDEX('Invite Builder'!$D:$D,ROW()-3),"")</f>
        <v>0</v>
      </c>
      <c r="D40" s="3">
        <f>IFERROR(INDEX('Invite Builder'!$E:$E,ROW()-3),"")</f>
        <v>0</v>
      </c>
      <c r="E40" s="3">
        <f>IFERROR(INDEX('Invite Builder'!$B:$B,ROW()-3),"")</f>
        <v>0</v>
      </c>
      <c r="F40" s="3">
        <f>IFERROR(INDEX('Invite Builder'!$I:$I,ROW()-3),"")</f>
        <v>0</v>
      </c>
      <c r="G40" s="3">
        <f>IFERROR(INDEX('Invite Builder'!$G:$G,ROW()-3),"")</f>
        <v>0</v>
      </c>
      <c r="H40" s="3">
        <f>IFERROR(INDEX('Invite Builder'!$H:$H,ROW()-3),"")</f>
        <v>0</v>
      </c>
      <c r="I40" s="3">
        <f>IFERROR(INDEX('Invite Builder'!$T:$T,ROW()-3),"")</f>
        <v>0</v>
      </c>
    </row>
    <row r="41" spans="1:9">
      <c r="A41" s="3" t="str">
        <f>IFERROR(INDEX('Invite Builder'!$A:$A,ROW()-3),"")</f>
        <v/>
      </c>
      <c r="B41" s="3">
        <f>IFERROR(INDEX('Invite Builder'!$C:$C,ROW()-3),"")</f>
        <v>0</v>
      </c>
      <c r="C41" s="3">
        <f>IFERROR(INDEX('Invite Builder'!$D:$D,ROW()-3),"")</f>
        <v>0</v>
      </c>
      <c r="D41" s="3">
        <f>IFERROR(INDEX('Invite Builder'!$E:$E,ROW()-3),"")</f>
        <v>0</v>
      </c>
      <c r="E41" s="3">
        <f>IFERROR(INDEX('Invite Builder'!$B:$B,ROW()-3),"")</f>
        <v>0</v>
      </c>
      <c r="F41" s="3">
        <f>IFERROR(INDEX('Invite Builder'!$I:$I,ROW()-3),"")</f>
        <v>0</v>
      </c>
      <c r="G41" s="3">
        <f>IFERROR(INDEX('Invite Builder'!$G:$G,ROW()-3),"")</f>
        <v>0</v>
      </c>
      <c r="H41" s="3">
        <f>IFERROR(INDEX('Invite Builder'!$H:$H,ROW()-3),"")</f>
        <v>0</v>
      </c>
      <c r="I41" s="3">
        <f>IFERROR(INDEX('Invite Builder'!$T:$T,ROW()-3),"")</f>
        <v>0</v>
      </c>
    </row>
    <row r="42" spans="1:9">
      <c r="A42" s="3" t="str">
        <f>IFERROR(INDEX('Invite Builder'!$A:$A,ROW()-3),"")</f>
        <v/>
      </c>
      <c r="B42" s="3">
        <f>IFERROR(INDEX('Invite Builder'!$C:$C,ROW()-3),"")</f>
        <v>0</v>
      </c>
      <c r="C42" s="3">
        <f>IFERROR(INDEX('Invite Builder'!$D:$D,ROW()-3),"")</f>
        <v>0</v>
      </c>
      <c r="D42" s="3">
        <f>IFERROR(INDEX('Invite Builder'!$E:$E,ROW()-3),"")</f>
        <v>0</v>
      </c>
      <c r="E42" s="3">
        <f>IFERROR(INDEX('Invite Builder'!$B:$B,ROW()-3),"")</f>
        <v>0</v>
      </c>
      <c r="F42" s="3">
        <f>IFERROR(INDEX('Invite Builder'!$I:$I,ROW()-3),"")</f>
        <v>0</v>
      </c>
      <c r="G42" s="3">
        <f>IFERROR(INDEX('Invite Builder'!$G:$G,ROW()-3),"")</f>
        <v>0</v>
      </c>
      <c r="H42" s="3">
        <f>IFERROR(INDEX('Invite Builder'!$H:$H,ROW()-3),"")</f>
        <v>0</v>
      </c>
      <c r="I42" s="3">
        <f>IFERROR(INDEX('Invite Builder'!$T:$T,ROW()-3),"")</f>
        <v>0</v>
      </c>
    </row>
    <row r="43" spans="1:9">
      <c r="A43" s="3" t="str">
        <f>IFERROR(INDEX('Invite Builder'!$A:$A,ROW()-3),"")</f>
        <v/>
      </c>
      <c r="B43" s="3">
        <f>IFERROR(INDEX('Invite Builder'!$C:$C,ROW()-3),"")</f>
        <v>0</v>
      </c>
      <c r="C43" s="3">
        <f>IFERROR(INDEX('Invite Builder'!$D:$D,ROW()-3),"")</f>
        <v>0</v>
      </c>
      <c r="D43" s="3">
        <f>IFERROR(INDEX('Invite Builder'!$E:$E,ROW()-3),"")</f>
        <v>0</v>
      </c>
      <c r="E43" s="3">
        <f>IFERROR(INDEX('Invite Builder'!$B:$B,ROW()-3),"")</f>
        <v>0</v>
      </c>
      <c r="F43" s="3">
        <f>IFERROR(INDEX('Invite Builder'!$I:$I,ROW()-3),"")</f>
        <v>0</v>
      </c>
      <c r="G43" s="3">
        <f>IFERROR(INDEX('Invite Builder'!$G:$G,ROW()-3),"")</f>
        <v>0</v>
      </c>
      <c r="H43" s="3">
        <f>IFERROR(INDEX('Invite Builder'!$H:$H,ROW()-3),"")</f>
        <v>0</v>
      </c>
      <c r="I43" s="3">
        <f>IFERROR(INDEX('Invite Builder'!$T:$T,ROW()-3),"")</f>
        <v>0</v>
      </c>
    </row>
    <row r="44" spans="1:9">
      <c r="A44" s="3" t="str">
        <f>IFERROR(INDEX('Invite Builder'!$A:$A,ROW()-3),"")</f>
        <v/>
      </c>
      <c r="B44" s="3">
        <f>IFERROR(INDEX('Invite Builder'!$C:$C,ROW()-3),"")</f>
        <v>0</v>
      </c>
      <c r="C44" s="3">
        <f>IFERROR(INDEX('Invite Builder'!$D:$D,ROW()-3),"")</f>
        <v>0</v>
      </c>
      <c r="D44" s="3">
        <f>IFERROR(INDEX('Invite Builder'!$E:$E,ROW()-3),"")</f>
        <v>0</v>
      </c>
      <c r="E44" s="3">
        <f>IFERROR(INDEX('Invite Builder'!$B:$B,ROW()-3),"")</f>
        <v>0</v>
      </c>
      <c r="F44" s="3">
        <f>IFERROR(INDEX('Invite Builder'!$I:$I,ROW()-3),"")</f>
        <v>0</v>
      </c>
      <c r="G44" s="3">
        <f>IFERROR(INDEX('Invite Builder'!$G:$G,ROW()-3),"")</f>
        <v>0</v>
      </c>
      <c r="H44" s="3">
        <f>IFERROR(INDEX('Invite Builder'!$H:$H,ROW()-3),"")</f>
        <v>0</v>
      </c>
      <c r="I44" s="3">
        <f>IFERROR(INDEX('Invite Builder'!$T:$T,ROW()-3),"")</f>
        <v>0</v>
      </c>
    </row>
    <row r="45" spans="1:9">
      <c r="A45" s="3" t="str">
        <f>IFERROR(INDEX('Invite Builder'!$A:$A,ROW()-3),"")</f>
        <v/>
      </c>
      <c r="B45" s="3">
        <f>IFERROR(INDEX('Invite Builder'!$C:$C,ROW()-3),"")</f>
        <v>0</v>
      </c>
      <c r="C45" s="3">
        <f>IFERROR(INDEX('Invite Builder'!$D:$D,ROW()-3),"")</f>
        <v>0</v>
      </c>
      <c r="D45" s="3">
        <f>IFERROR(INDEX('Invite Builder'!$E:$E,ROW()-3),"")</f>
        <v>0</v>
      </c>
      <c r="E45" s="3">
        <f>IFERROR(INDEX('Invite Builder'!$B:$B,ROW()-3),"")</f>
        <v>0</v>
      </c>
      <c r="F45" s="3">
        <f>IFERROR(INDEX('Invite Builder'!$I:$I,ROW()-3),"")</f>
        <v>0</v>
      </c>
      <c r="G45" s="3">
        <f>IFERROR(INDEX('Invite Builder'!$G:$G,ROW()-3),"")</f>
        <v>0</v>
      </c>
      <c r="H45" s="3">
        <f>IFERROR(INDEX('Invite Builder'!$H:$H,ROW()-3),"")</f>
        <v>0</v>
      </c>
      <c r="I45" s="3">
        <f>IFERROR(INDEX('Invite Builder'!$T:$T,ROW()-3),"")</f>
        <v>0</v>
      </c>
    </row>
    <row r="46" spans="1:9">
      <c r="A46" s="3" t="str">
        <f>IFERROR(INDEX('Invite Builder'!$A:$A,ROW()-3),"")</f>
        <v/>
      </c>
      <c r="B46" s="3">
        <f>IFERROR(INDEX('Invite Builder'!$C:$C,ROW()-3),"")</f>
        <v>0</v>
      </c>
      <c r="C46" s="3">
        <f>IFERROR(INDEX('Invite Builder'!$D:$D,ROW()-3),"")</f>
        <v>0</v>
      </c>
      <c r="D46" s="3">
        <f>IFERROR(INDEX('Invite Builder'!$E:$E,ROW()-3),"")</f>
        <v>0</v>
      </c>
      <c r="E46" s="3">
        <f>IFERROR(INDEX('Invite Builder'!$B:$B,ROW()-3),"")</f>
        <v>0</v>
      </c>
      <c r="F46" s="3">
        <f>IFERROR(INDEX('Invite Builder'!$I:$I,ROW()-3),"")</f>
        <v>0</v>
      </c>
      <c r="G46" s="3">
        <f>IFERROR(INDEX('Invite Builder'!$G:$G,ROW()-3),"")</f>
        <v>0</v>
      </c>
      <c r="H46" s="3">
        <f>IFERROR(INDEX('Invite Builder'!$H:$H,ROW()-3),"")</f>
        <v>0</v>
      </c>
      <c r="I46" s="3">
        <f>IFERROR(INDEX('Invite Builder'!$T:$T,ROW()-3),"")</f>
        <v>0</v>
      </c>
    </row>
    <row r="47" spans="1:9">
      <c r="A47" s="3" t="str">
        <f>IFERROR(INDEX('Invite Builder'!$A:$A,ROW()-3),"")</f>
        <v/>
      </c>
      <c r="B47" s="3">
        <f>IFERROR(INDEX('Invite Builder'!$C:$C,ROW()-3),"")</f>
        <v>0</v>
      </c>
      <c r="C47" s="3">
        <f>IFERROR(INDEX('Invite Builder'!$D:$D,ROW()-3),"")</f>
        <v>0</v>
      </c>
      <c r="D47" s="3">
        <f>IFERROR(INDEX('Invite Builder'!$E:$E,ROW()-3),"")</f>
        <v>0</v>
      </c>
      <c r="E47" s="3">
        <f>IFERROR(INDEX('Invite Builder'!$B:$B,ROW()-3),"")</f>
        <v>0</v>
      </c>
      <c r="F47" s="3">
        <f>IFERROR(INDEX('Invite Builder'!$I:$I,ROW()-3),"")</f>
        <v>0</v>
      </c>
      <c r="G47" s="3">
        <f>IFERROR(INDEX('Invite Builder'!$G:$G,ROW()-3),"")</f>
        <v>0</v>
      </c>
      <c r="H47" s="3">
        <f>IFERROR(INDEX('Invite Builder'!$H:$H,ROW()-3),"")</f>
        <v>0</v>
      </c>
      <c r="I47" s="3">
        <f>IFERROR(INDEX('Invite Builder'!$T:$T,ROW()-3),"")</f>
        <v>0</v>
      </c>
    </row>
    <row r="48" spans="1:9">
      <c r="A48" s="3" t="str">
        <f>IFERROR(INDEX('Invite Builder'!$A:$A,ROW()-3),"")</f>
        <v/>
      </c>
      <c r="B48" s="3">
        <f>IFERROR(INDEX('Invite Builder'!$C:$C,ROW()-3),"")</f>
        <v>0</v>
      </c>
      <c r="C48" s="3">
        <f>IFERROR(INDEX('Invite Builder'!$D:$D,ROW()-3),"")</f>
        <v>0</v>
      </c>
      <c r="D48" s="3">
        <f>IFERROR(INDEX('Invite Builder'!$E:$E,ROW()-3),"")</f>
        <v>0</v>
      </c>
      <c r="E48" s="3">
        <f>IFERROR(INDEX('Invite Builder'!$B:$B,ROW()-3),"")</f>
        <v>0</v>
      </c>
      <c r="F48" s="3">
        <f>IFERROR(INDEX('Invite Builder'!$I:$I,ROW()-3),"")</f>
        <v>0</v>
      </c>
      <c r="G48" s="3">
        <f>IFERROR(INDEX('Invite Builder'!$G:$G,ROW()-3),"")</f>
        <v>0</v>
      </c>
      <c r="H48" s="3">
        <f>IFERROR(INDEX('Invite Builder'!$H:$H,ROW()-3),"")</f>
        <v>0</v>
      </c>
      <c r="I48" s="3">
        <f>IFERROR(INDEX('Invite Builder'!$T:$T,ROW()-3),"")</f>
        <v>0</v>
      </c>
    </row>
    <row r="49" spans="1:9">
      <c r="A49" s="3" t="str">
        <f>IFERROR(INDEX('Invite Builder'!$A:$A,ROW()-3),"")</f>
        <v/>
      </c>
      <c r="B49" s="3">
        <f>IFERROR(INDEX('Invite Builder'!$C:$C,ROW()-3),"")</f>
        <v>0</v>
      </c>
      <c r="C49" s="3">
        <f>IFERROR(INDEX('Invite Builder'!$D:$D,ROW()-3),"")</f>
        <v>0</v>
      </c>
      <c r="D49" s="3">
        <f>IFERROR(INDEX('Invite Builder'!$E:$E,ROW()-3),"")</f>
        <v>0</v>
      </c>
      <c r="E49" s="3">
        <f>IFERROR(INDEX('Invite Builder'!$B:$B,ROW()-3),"")</f>
        <v>0</v>
      </c>
      <c r="F49" s="3">
        <f>IFERROR(INDEX('Invite Builder'!$I:$I,ROW()-3),"")</f>
        <v>0</v>
      </c>
      <c r="G49" s="3">
        <f>IFERROR(INDEX('Invite Builder'!$G:$G,ROW()-3),"")</f>
        <v>0</v>
      </c>
      <c r="H49" s="3">
        <f>IFERROR(INDEX('Invite Builder'!$H:$H,ROW()-3),"")</f>
        <v>0</v>
      </c>
      <c r="I49" s="3">
        <f>IFERROR(INDEX('Invite Builder'!$T:$T,ROW()-3),"")</f>
        <v>0</v>
      </c>
    </row>
    <row r="50" spans="1:9">
      <c r="A50" s="3" t="str">
        <f>IFERROR(INDEX('Invite Builder'!$A:$A,ROW()-3),"")</f>
        <v/>
      </c>
      <c r="B50" s="3">
        <f>IFERROR(INDEX('Invite Builder'!$C:$C,ROW()-3),"")</f>
        <v>0</v>
      </c>
      <c r="C50" s="3">
        <f>IFERROR(INDEX('Invite Builder'!$D:$D,ROW()-3),"")</f>
        <v>0</v>
      </c>
      <c r="D50" s="3">
        <f>IFERROR(INDEX('Invite Builder'!$E:$E,ROW()-3),"")</f>
        <v>0</v>
      </c>
      <c r="E50" s="3">
        <f>IFERROR(INDEX('Invite Builder'!$B:$B,ROW()-3),"")</f>
        <v>0</v>
      </c>
      <c r="F50" s="3">
        <f>IFERROR(INDEX('Invite Builder'!$I:$I,ROW()-3),"")</f>
        <v>0</v>
      </c>
      <c r="G50" s="3">
        <f>IFERROR(INDEX('Invite Builder'!$G:$G,ROW()-3),"")</f>
        <v>0</v>
      </c>
      <c r="H50" s="3">
        <f>IFERROR(INDEX('Invite Builder'!$H:$H,ROW()-3),"")</f>
        <v>0</v>
      </c>
      <c r="I50" s="3">
        <f>IFERROR(INDEX('Invite Builder'!$T:$T,ROW()-3),"")</f>
        <v>0</v>
      </c>
    </row>
    <row r="51" spans="1:9">
      <c r="A51" s="3" t="str">
        <f>IFERROR(INDEX('Invite Builder'!$A:$A,ROW()-3),"")</f>
        <v/>
      </c>
      <c r="B51" s="3">
        <f>IFERROR(INDEX('Invite Builder'!$C:$C,ROW()-3),"")</f>
        <v>0</v>
      </c>
      <c r="C51" s="3">
        <f>IFERROR(INDEX('Invite Builder'!$D:$D,ROW()-3),"")</f>
        <v>0</v>
      </c>
      <c r="D51" s="3">
        <f>IFERROR(INDEX('Invite Builder'!$E:$E,ROW()-3),"")</f>
        <v>0</v>
      </c>
      <c r="E51" s="3">
        <f>IFERROR(INDEX('Invite Builder'!$B:$B,ROW()-3),"")</f>
        <v>0</v>
      </c>
      <c r="F51" s="3">
        <f>IFERROR(INDEX('Invite Builder'!$I:$I,ROW()-3),"")</f>
        <v>0</v>
      </c>
      <c r="G51" s="3">
        <f>IFERROR(INDEX('Invite Builder'!$G:$G,ROW()-3),"")</f>
        <v>0</v>
      </c>
      <c r="H51" s="3">
        <f>IFERROR(INDEX('Invite Builder'!$H:$H,ROW()-3),"")</f>
        <v>0</v>
      </c>
      <c r="I51" s="3">
        <f>IFERROR(INDEX('Invite Builder'!$T:$T,ROW()-3),"")</f>
        <v>0</v>
      </c>
    </row>
    <row r="52" spans="1:9">
      <c r="A52" s="3" t="str">
        <f>IFERROR(INDEX('Invite Builder'!$A:$A,ROW()-3),"")</f>
        <v/>
      </c>
      <c r="B52" s="3">
        <f>IFERROR(INDEX('Invite Builder'!$C:$C,ROW()-3),"")</f>
        <v>0</v>
      </c>
      <c r="C52" s="3">
        <f>IFERROR(INDEX('Invite Builder'!$D:$D,ROW()-3),"")</f>
        <v>0</v>
      </c>
      <c r="D52" s="3">
        <f>IFERROR(INDEX('Invite Builder'!$E:$E,ROW()-3),"")</f>
        <v>0</v>
      </c>
      <c r="E52" s="3">
        <f>IFERROR(INDEX('Invite Builder'!$B:$B,ROW()-3),"")</f>
        <v>0</v>
      </c>
      <c r="F52" s="3">
        <f>IFERROR(INDEX('Invite Builder'!$I:$I,ROW()-3),"")</f>
        <v>0</v>
      </c>
      <c r="G52" s="3">
        <f>IFERROR(INDEX('Invite Builder'!$G:$G,ROW()-3),"")</f>
        <v>0</v>
      </c>
      <c r="H52" s="3">
        <f>IFERROR(INDEX('Invite Builder'!$H:$H,ROW()-3),"")</f>
        <v>0</v>
      </c>
      <c r="I52" s="3">
        <f>IFERROR(INDEX('Invite Builder'!$T:$T,ROW()-3),"")</f>
        <v>0</v>
      </c>
    </row>
    <row r="53" spans="1:9">
      <c r="A53" s="3" t="str">
        <f>IFERROR(INDEX('Invite Builder'!$A:$A,ROW()-3),"")</f>
        <v/>
      </c>
      <c r="B53" s="3">
        <f>IFERROR(INDEX('Invite Builder'!$C:$C,ROW()-3),"")</f>
        <v>0</v>
      </c>
      <c r="C53" s="3">
        <f>IFERROR(INDEX('Invite Builder'!$D:$D,ROW()-3),"")</f>
        <v>0</v>
      </c>
      <c r="D53" s="3">
        <f>IFERROR(INDEX('Invite Builder'!$E:$E,ROW()-3),"")</f>
        <v>0</v>
      </c>
      <c r="E53" s="3">
        <f>IFERROR(INDEX('Invite Builder'!$B:$B,ROW()-3),"")</f>
        <v>0</v>
      </c>
      <c r="F53" s="3">
        <f>IFERROR(INDEX('Invite Builder'!$I:$I,ROW()-3),"")</f>
        <v>0</v>
      </c>
      <c r="G53" s="3">
        <f>IFERROR(INDEX('Invite Builder'!$G:$G,ROW()-3),"")</f>
        <v>0</v>
      </c>
      <c r="H53" s="3">
        <f>IFERROR(INDEX('Invite Builder'!$H:$H,ROW()-3),"")</f>
        <v>0</v>
      </c>
      <c r="I53" s="3">
        <f>IFERROR(INDEX('Invite Builder'!$T:$T,ROW()-3),"")</f>
        <v>0</v>
      </c>
    </row>
    <row r="54" spans="1:9">
      <c r="A54" s="3" t="str">
        <f>IFERROR(INDEX('Invite Builder'!$A:$A,ROW()-3),"")</f>
        <v/>
      </c>
      <c r="B54" s="3">
        <f>IFERROR(INDEX('Invite Builder'!$C:$C,ROW()-3),"")</f>
        <v>0</v>
      </c>
      <c r="C54" s="3">
        <f>IFERROR(INDEX('Invite Builder'!$D:$D,ROW()-3),"")</f>
        <v>0</v>
      </c>
      <c r="D54" s="3">
        <f>IFERROR(INDEX('Invite Builder'!$E:$E,ROW()-3),"")</f>
        <v>0</v>
      </c>
      <c r="E54" s="3">
        <f>IFERROR(INDEX('Invite Builder'!$B:$B,ROW()-3),"")</f>
        <v>0</v>
      </c>
      <c r="F54" s="3">
        <f>IFERROR(INDEX('Invite Builder'!$I:$I,ROW()-3),"")</f>
        <v>0</v>
      </c>
      <c r="G54" s="3">
        <f>IFERROR(INDEX('Invite Builder'!$G:$G,ROW()-3),"")</f>
        <v>0</v>
      </c>
      <c r="H54" s="3">
        <f>IFERROR(INDEX('Invite Builder'!$H:$H,ROW()-3),"")</f>
        <v>0</v>
      </c>
      <c r="I54" s="3">
        <f>IFERROR(INDEX('Invite Builder'!$T:$T,ROW()-3),"")</f>
        <v>0</v>
      </c>
    </row>
    <row r="55" spans="1:9">
      <c r="A55" s="3" t="str">
        <f>IFERROR(INDEX('Invite Builder'!$A:$A,ROW()-3),"")</f>
        <v/>
      </c>
      <c r="B55" s="3">
        <f>IFERROR(INDEX('Invite Builder'!$C:$C,ROW()-3),"")</f>
        <v>0</v>
      </c>
      <c r="C55" s="3">
        <f>IFERROR(INDEX('Invite Builder'!$D:$D,ROW()-3),"")</f>
        <v>0</v>
      </c>
      <c r="D55" s="3">
        <f>IFERROR(INDEX('Invite Builder'!$E:$E,ROW()-3),"")</f>
        <v>0</v>
      </c>
      <c r="E55" s="3">
        <f>IFERROR(INDEX('Invite Builder'!$B:$B,ROW()-3),"")</f>
        <v>0</v>
      </c>
      <c r="F55" s="3">
        <f>IFERROR(INDEX('Invite Builder'!$I:$I,ROW()-3),"")</f>
        <v>0</v>
      </c>
      <c r="G55" s="3">
        <f>IFERROR(INDEX('Invite Builder'!$G:$G,ROW()-3),"")</f>
        <v>0</v>
      </c>
      <c r="H55" s="3">
        <f>IFERROR(INDEX('Invite Builder'!$H:$H,ROW()-3),"")</f>
        <v>0</v>
      </c>
      <c r="I55" s="3">
        <f>IFERROR(INDEX('Invite Builder'!$T:$T,ROW()-3),"")</f>
        <v>0</v>
      </c>
    </row>
    <row r="56" spans="1:9">
      <c r="A56" s="3" t="str">
        <f>IFERROR(INDEX('Invite Builder'!$A:$A,ROW()-3),"")</f>
        <v/>
      </c>
      <c r="B56" s="3">
        <f>IFERROR(INDEX('Invite Builder'!$C:$C,ROW()-3),"")</f>
        <v>0</v>
      </c>
      <c r="C56" s="3">
        <f>IFERROR(INDEX('Invite Builder'!$D:$D,ROW()-3),"")</f>
        <v>0</v>
      </c>
      <c r="D56" s="3">
        <f>IFERROR(INDEX('Invite Builder'!$E:$E,ROW()-3),"")</f>
        <v>0</v>
      </c>
      <c r="E56" s="3">
        <f>IFERROR(INDEX('Invite Builder'!$B:$B,ROW()-3),"")</f>
        <v>0</v>
      </c>
      <c r="F56" s="3">
        <f>IFERROR(INDEX('Invite Builder'!$I:$I,ROW()-3),"")</f>
        <v>0</v>
      </c>
      <c r="G56" s="3">
        <f>IFERROR(INDEX('Invite Builder'!$G:$G,ROW()-3),"")</f>
        <v>0</v>
      </c>
      <c r="H56" s="3">
        <f>IFERROR(INDEX('Invite Builder'!$H:$H,ROW()-3),"")</f>
        <v>0</v>
      </c>
      <c r="I56" s="3">
        <f>IFERROR(INDEX('Invite Builder'!$T:$T,ROW()-3),"")</f>
        <v>0</v>
      </c>
    </row>
    <row r="57" spans="1:9">
      <c r="A57" s="3" t="str">
        <f>IFERROR(INDEX('Invite Builder'!$A:$A,ROW()-3),"")</f>
        <v/>
      </c>
      <c r="B57" s="3">
        <f>IFERROR(INDEX('Invite Builder'!$C:$C,ROW()-3),"")</f>
        <v>0</v>
      </c>
      <c r="C57" s="3">
        <f>IFERROR(INDEX('Invite Builder'!$D:$D,ROW()-3),"")</f>
        <v>0</v>
      </c>
      <c r="D57" s="3">
        <f>IFERROR(INDEX('Invite Builder'!$E:$E,ROW()-3),"")</f>
        <v>0</v>
      </c>
      <c r="E57" s="3">
        <f>IFERROR(INDEX('Invite Builder'!$B:$B,ROW()-3),"")</f>
        <v>0</v>
      </c>
      <c r="F57" s="3">
        <f>IFERROR(INDEX('Invite Builder'!$I:$I,ROW()-3),"")</f>
        <v>0</v>
      </c>
      <c r="G57" s="3">
        <f>IFERROR(INDEX('Invite Builder'!$G:$G,ROW()-3),"")</f>
        <v>0</v>
      </c>
      <c r="H57" s="3">
        <f>IFERROR(INDEX('Invite Builder'!$H:$H,ROW()-3),"")</f>
        <v>0</v>
      </c>
      <c r="I57" s="3">
        <f>IFERROR(INDEX('Invite Builder'!$T:$T,ROW()-3),"")</f>
        <v>0</v>
      </c>
    </row>
    <row r="58" spans="1:9">
      <c r="A58" s="3" t="str">
        <f>IFERROR(INDEX('Invite Builder'!$A:$A,ROW()-3),"")</f>
        <v/>
      </c>
      <c r="B58" s="3">
        <f>IFERROR(INDEX('Invite Builder'!$C:$C,ROW()-3),"")</f>
        <v>0</v>
      </c>
      <c r="C58" s="3">
        <f>IFERROR(INDEX('Invite Builder'!$D:$D,ROW()-3),"")</f>
        <v>0</v>
      </c>
      <c r="D58" s="3">
        <f>IFERROR(INDEX('Invite Builder'!$E:$E,ROW()-3),"")</f>
        <v>0</v>
      </c>
      <c r="E58" s="3">
        <f>IFERROR(INDEX('Invite Builder'!$B:$B,ROW()-3),"")</f>
        <v>0</v>
      </c>
      <c r="F58" s="3">
        <f>IFERROR(INDEX('Invite Builder'!$I:$I,ROW()-3),"")</f>
        <v>0</v>
      </c>
      <c r="G58" s="3">
        <f>IFERROR(INDEX('Invite Builder'!$G:$G,ROW()-3),"")</f>
        <v>0</v>
      </c>
      <c r="H58" s="3">
        <f>IFERROR(INDEX('Invite Builder'!$H:$H,ROW()-3),"")</f>
        <v>0</v>
      </c>
      <c r="I58" s="3">
        <f>IFERROR(INDEX('Invite Builder'!$T:$T,ROW()-3),"")</f>
        <v>0</v>
      </c>
    </row>
    <row r="59" spans="1:9">
      <c r="A59" s="3" t="str">
        <f>IFERROR(INDEX('Invite Builder'!$A:$A,ROW()-3),"")</f>
        <v/>
      </c>
      <c r="B59" s="3">
        <f>IFERROR(INDEX('Invite Builder'!$C:$C,ROW()-3),"")</f>
        <v>0</v>
      </c>
      <c r="C59" s="3">
        <f>IFERROR(INDEX('Invite Builder'!$D:$D,ROW()-3),"")</f>
        <v>0</v>
      </c>
      <c r="D59" s="3">
        <f>IFERROR(INDEX('Invite Builder'!$E:$E,ROW()-3),"")</f>
        <v>0</v>
      </c>
      <c r="E59" s="3">
        <f>IFERROR(INDEX('Invite Builder'!$B:$B,ROW()-3),"")</f>
        <v>0</v>
      </c>
      <c r="F59" s="3">
        <f>IFERROR(INDEX('Invite Builder'!$I:$I,ROW()-3),"")</f>
        <v>0</v>
      </c>
      <c r="G59" s="3">
        <f>IFERROR(INDEX('Invite Builder'!$G:$G,ROW()-3),"")</f>
        <v>0</v>
      </c>
      <c r="H59" s="3">
        <f>IFERROR(INDEX('Invite Builder'!$H:$H,ROW()-3),"")</f>
        <v>0</v>
      </c>
      <c r="I59" s="3">
        <f>IFERROR(INDEX('Invite Builder'!$T:$T,ROW()-3),"")</f>
        <v>0</v>
      </c>
    </row>
    <row r="60" spans="1:9">
      <c r="A60" s="3" t="str">
        <f>IFERROR(INDEX('Invite Builder'!$A:$A,ROW()-3),"")</f>
        <v/>
      </c>
      <c r="B60" s="3">
        <f>IFERROR(INDEX('Invite Builder'!$C:$C,ROW()-3),"")</f>
        <v>0</v>
      </c>
      <c r="C60" s="3">
        <f>IFERROR(INDEX('Invite Builder'!$D:$D,ROW()-3),"")</f>
        <v>0</v>
      </c>
      <c r="D60" s="3">
        <f>IFERROR(INDEX('Invite Builder'!$E:$E,ROW()-3),"")</f>
        <v>0</v>
      </c>
      <c r="E60" s="3">
        <f>IFERROR(INDEX('Invite Builder'!$B:$B,ROW()-3),"")</f>
        <v>0</v>
      </c>
      <c r="F60" s="3">
        <f>IFERROR(INDEX('Invite Builder'!$I:$I,ROW()-3),"")</f>
        <v>0</v>
      </c>
      <c r="G60" s="3">
        <f>IFERROR(INDEX('Invite Builder'!$G:$G,ROW()-3),"")</f>
        <v>0</v>
      </c>
      <c r="H60" s="3">
        <f>IFERROR(INDEX('Invite Builder'!$H:$H,ROW()-3),"")</f>
        <v>0</v>
      </c>
      <c r="I60" s="3">
        <f>IFERROR(INDEX('Invite Builder'!$T:$T,ROW()-3),"")</f>
        <v>0</v>
      </c>
    </row>
    <row r="61" spans="1:9">
      <c r="A61" s="3" t="str">
        <f>IFERROR(INDEX('Invite Builder'!$A:$A,ROW()-3),"")</f>
        <v/>
      </c>
      <c r="B61" s="3">
        <f>IFERROR(INDEX('Invite Builder'!$C:$C,ROW()-3),"")</f>
        <v>0</v>
      </c>
      <c r="C61" s="3">
        <f>IFERROR(INDEX('Invite Builder'!$D:$D,ROW()-3),"")</f>
        <v>0</v>
      </c>
      <c r="D61" s="3">
        <f>IFERROR(INDEX('Invite Builder'!$E:$E,ROW()-3),"")</f>
        <v>0</v>
      </c>
      <c r="E61" s="3">
        <f>IFERROR(INDEX('Invite Builder'!$B:$B,ROW()-3),"")</f>
        <v>0</v>
      </c>
      <c r="F61" s="3">
        <f>IFERROR(INDEX('Invite Builder'!$I:$I,ROW()-3),"")</f>
        <v>0</v>
      </c>
      <c r="G61" s="3">
        <f>IFERROR(INDEX('Invite Builder'!$G:$G,ROW()-3),"")</f>
        <v>0</v>
      </c>
      <c r="H61" s="3">
        <f>IFERROR(INDEX('Invite Builder'!$H:$H,ROW()-3),"")</f>
        <v>0</v>
      </c>
      <c r="I61" s="3">
        <f>IFERROR(INDEX('Invite Builder'!$T:$T,ROW()-3),"")</f>
        <v>0</v>
      </c>
    </row>
    <row r="62" spans="1:9">
      <c r="A62" s="3" t="str">
        <f>IFERROR(INDEX('Invite Builder'!$A:$A,ROW()-3),"")</f>
        <v/>
      </c>
      <c r="B62" s="3">
        <f>IFERROR(INDEX('Invite Builder'!$C:$C,ROW()-3),"")</f>
        <v>0</v>
      </c>
      <c r="C62" s="3">
        <f>IFERROR(INDEX('Invite Builder'!$D:$D,ROW()-3),"")</f>
        <v>0</v>
      </c>
      <c r="D62" s="3">
        <f>IFERROR(INDEX('Invite Builder'!$E:$E,ROW()-3),"")</f>
        <v>0</v>
      </c>
      <c r="E62" s="3">
        <f>IFERROR(INDEX('Invite Builder'!$B:$B,ROW()-3),"")</f>
        <v>0</v>
      </c>
      <c r="F62" s="3">
        <f>IFERROR(INDEX('Invite Builder'!$I:$I,ROW()-3),"")</f>
        <v>0</v>
      </c>
      <c r="G62" s="3">
        <f>IFERROR(INDEX('Invite Builder'!$G:$G,ROW()-3),"")</f>
        <v>0</v>
      </c>
      <c r="H62" s="3">
        <f>IFERROR(INDEX('Invite Builder'!$H:$H,ROW()-3),"")</f>
        <v>0</v>
      </c>
      <c r="I62" s="3">
        <f>IFERROR(INDEX('Invite Builder'!$T:$T,ROW()-3),"")</f>
        <v>0</v>
      </c>
    </row>
    <row r="63" spans="1:9">
      <c r="A63" s="3" t="str">
        <f>IFERROR(INDEX('Invite Builder'!$A:$A,ROW()-3),"")</f>
        <v/>
      </c>
      <c r="B63" s="3">
        <f>IFERROR(INDEX('Invite Builder'!$C:$C,ROW()-3),"")</f>
        <v>0</v>
      </c>
      <c r="C63" s="3">
        <f>IFERROR(INDEX('Invite Builder'!$D:$D,ROW()-3),"")</f>
        <v>0</v>
      </c>
      <c r="D63" s="3">
        <f>IFERROR(INDEX('Invite Builder'!$E:$E,ROW()-3),"")</f>
        <v>0</v>
      </c>
      <c r="E63" s="3">
        <f>IFERROR(INDEX('Invite Builder'!$B:$B,ROW()-3),"")</f>
        <v>0</v>
      </c>
      <c r="F63" s="3">
        <f>IFERROR(INDEX('Invite Builder'!$I:$I,ROW()-3),"")</f>
        <v>0</v>
      </c>
      <c r="G63" s="3">
        <f>IFERROR(INDEX('Invite Builder'!$G:$G,ROW()-3),"")</f>
        <v>0</v>
      </c>
      <c r="H63" s="3">
        <f>IFERROR(INDEX('Invite Builder'!$H:$H,ROW()-3),"")</f>
        <v>0</v>
      </c>
      <c r="I63" s="3">
        <f>IFERROR(INDEX('Invite Builder'!$T:$T,ROW()-3),"")</f>
        <v>0</v>
      </c>
    </row>
    <row r="64" spans="1:9">
      <c r="A64" s="3" t="str">
        <f>IFERROR(INDEX('Invite Builder'!$A:$A,ROW()-3),"")</f>
        <v/>
      </c>
      <c r="B64" s="3">
        <f>IFERROR(INDEX('Invite Builder'!$C:$C,ROW()-3),"")</f>
        <v>0</v>
      </c>
      <c r="C64" s="3">
        <f>IFERROR(INDEX('Invite Builder'!$D:$D,ROW()-3),"")</f>
        <v>0</v>
      </c>
      <c r="D64" s="3">
        <f>IFERROR(INDEX('Invite Builder'!$E:$E,ROW()-3),"")</f>
        <v>0</v>
      </c>
      <c r="E64" s="3">
        <f>IFERROR(INDEX('Invite Builder'!$B:$B,ROW()-3),"")</f>
        <v>0</v>
      </c>
      <c r="F64" s="3">
        <f>IFERROR(INDEX('Invite Builder'!$I:$I,ROW()-3),"")</f>
        <v>0</v>
      </c>
      <c r="G64" s="3">
        <f>IFERROR(INDEX('Invite Builder'!$G:$G,ROW()-3),"")</f>
        <v>0</v>
      </c>
      <c r="H64" s="3">
        <f>IFERROR(INDEX('Invite Builder'!$H:$H,ROW()-3),"")</f>
        <v>0</v>
      </c>
      <c r="I64" s="3">
        <f>IFERROR(INDEX('Invite Builder'!$T:$T,ROW()-3),"")</f>
        <v>0</v>
      </c>
    </row>
    <row r="65" spans="1:9">
      <c r="A65" s="3" t="str">
        <f>IFERROR(INDEX('Invite Builder'!$A:$A,ROW()-3),"")</f>
        <v/>
      </c>
      <c r="B65" s="3">
        <f>IFERROR(INDEX('Invite Builder'!$C:$C,ROW()-3),"")</f>
        <v>0</v>
      </c>
      <c r="C65" s="3">
        <f>IFERROR(INDEX('Invite Builder'!$D:$D,ROW()-3),"")</f>
        <v>0</v>
      </c>
      <c r="D65" s="3">
        <f>IFERROR(INDEX('Invite Builder'!$E:$E,ROW()-3),"")</f>
        <v>0</v>
      </c>
      <c r="E65" s="3">
        <f>IFERROR(INDEX('Invite Builder'!$B:$B,ROW()-3),"")</f>
        <v>0</v>
      </c>
      <c r="F65" s="3">
        <f>IFERROR(INDEX('Invite Builder'!$I:$I,ROW()-3),"")</f>
        <v>0</v>
      </c>
      <c r="G65" s="3">
        <f>IFERROR(INDEX('Invite Builder'!$G:$G,ROW()-3),"")</f>
        <v>0</v>
      </c>
      <c r="H65" s="3">
        <f>IFERROR(INDEX('Invite Builder'!$H:$H,ROW()-3),"")</f>
        <v>0</v>
      </c>
      <c r="I65" s="3">
        <f>IFERROR(INDEX('Invite Builder'!$T:$T,ROW()-3),"")</f>
        <v>0</v>
      </c>
    </row>
    <row r="66" spans="1:9">
      <c r="A66" s="3" t="str">
        <f>IFERROR(INDEX('Invite Builder'!$A:$A,ROW()-3),"")</f>
        <v/>
      </c>
      <c r="B66" s="3">
        <f>IFERROR(INDEX('Invite Builder'!$C:$C,ROW()-3),"")</f>
        <v>0</v>
      </c>
      <c r="C66" s="3">
        <f>IFERROR(INDEX('Invite Builder'!$D:$D,ROW()-3),"")</f>
        <v>0</v>
      </c>
      <c r="D66" s="3">
        <f>IFERROR(INDEX('Invite Builder'!$E:$E,ROW()-3),"")</f>
        <v>0</v>
      </c>
      <c r="E66" s="3">
        <f>IFERROR(INDEX('Invite Builder'!$B:$B,ROW()-3),"")</f>
        <v>0</v>
      </c>
      <c r="F66" s="3">
        <f>IFERROR(INDEX('Invite Builder'!$I:$I,ROW()-3),"")</f>
        <v>0</v>
      </c>
      <c r="G66" s="3">
        <f>IFERROR(INDEX('Invite Builder'!$G:$G,ROW()-3),"")</f>
        <v>0</v>
      </c>
      <c r="H66" s="3">
        <f>IFERROR(INDEX('Invite Builder'!$H:$H,ROW()-3),"")</f>
        <v>0</v>
      </c>
      <c r="I66" s="3">
        <f>IFERROR(INDEX('Invite Builder'!$T:$T,ROW()-3),"")</f>
        <v>0</v>
      </c>
    </row>
    <row r="67" spans="1:9">
      <c r="A67" s="3" t="str">
        <f>IFERROR(INDEX('Invite Builder'!$A:$A,ROW()-3),"")</f>
        <v/>
      </c>
      <c r="B67" s="3">
        <f>IFERROR(INDEX('Invite Builder'!$C:$C,ROW()-3),"")</f>
        <v>0</v>
      </c>
      <c r="C67" s="3">
        <f>IFERROR(INDEX('Invite Builder'!$D:$D,ROW()-3),"")</f>
        <v>0</v>
      </c>
      <c r="D67" s="3">
        <f>IFERROR(INDEX('Invite Builder'!$E:$E,ROW()-3),"")</f>
        <v>0</v>
      </c>
      <c r="E67" s="3">
        <f>IFERROR(INDEX('Invite Builder'!$B:$B,ROW()-3),"")</f>
        <v>0</v>
      </c>
      <c r="F67" s="3">
        <f>IFERROR(INDEX('Invite Builder'!$I:$I,ROW()-3),"")</f>
        <v>0</v>
      </c>
      <c r="G67" s="3">
        <f>IFERROR(INDEX('Invite Builder'!$G:$G,ROW()-3),"")</f>
        <v>0</v>
      </c>
      <c r="H67" s="3">
        <f>IFERROR(INDEX('Invite Builder'!$H:$H,ROW()-3),"")</f>
        <v>0</v>
      </c>
      <c r="I67" s="3">
        <f>IFERROR(INDEX('Invite Builder'!$T:$T,ROW()-3),"")</f>
        <v>0</v>
      </c>
    </row>
    <row r="68" spans="1:9">
      <c r="A68" s="3" t="str">
        <f>IFERROR(INDEX('Invite Builder'!$A:$A,ROW()-3),"")</f>
        <v/>
      </c>
      <c r="B68" s="3">
        <f>IFERROR(INDEX('Invite Builder'!$C:$C,ROW()-3),"")</f>
        <v>0</v>
      </c>
      <c r="C68" s="3">
        <f>IFERROR(INDEX('Invite Builder'!$D:$D,ROW()-3),"")</f>
        <v>0</v>
      </c>
      <c r="D68" s="3">
        <f>IFERROR(INDEX('Invite Builder'!$E:$E,ROW()-3),"")</f>
        <v>0</v>
      </c>
      <c r="E68" s="3">
        <f>IFERROR(INDEX('Invite Builder'!$B:$B,ROW()-3),"")</f>
        <v>0</v>
      </c>
      <c r="F68" s="3">
        <f>IFERROR(INDEX('Invite Builder'!$I:$I,ROW()-3),"")</f>
        <v>0</v>
      </c>
      <c r="G68" s="3">
        <f>IFERROR(INDEX('Invite Builder'!$G:$G,ROW()-3),"")</f>
        <v>0</v>
      </c>
      <c r="H68" s="3">
        <f>IFERROR(INDEX('Invite Builder'!$H:$H,ROW()-3),"")</f>
        <v>0</v>
      </c>
      <c r="I68" s="3">
        <f>IFERROR(INDEX('Invite Builder'!$T:$T,ROW()-3),"")</f>
        <v>0</v>
      </c>
    </row>
    <row r="69" spans="1:9">
      <c r="A69" s="3" t="str">
        <f>IFERROR(INDEX('Invite Builder'!$A:$A,ROW()-3),"")</f>
        <v/>
      </c>
      <c r="B69" s="3">
        <f>IFERROR(INDEX('Invite Builder'!$C:$C,ROW()-3),"")</f>
        <v>0</v>
      </c>
      <c r="C69" s="3">
        <f>IFERROR(INDEX('Invite Builder'!$D:$D,ROW()-3),"")</f>
        <v>0</v>
      </c>
      <c r="D69" s="3">
        <f>IFERROR(INDEX('Invite Builder'!$E:$E,ROW()-3),"")</f>
        <v>0</v>
      </c>
      <c r="E69" s="3">
        <f>IFERROR(INDEX('Invite Builder'!$B:$B,ROW()-3),"")</f>
        <v>0</v>
      </c>
      <c r="F69" s="3">
        <f>IFERROR(INDEX('Invite Builder'!$I:$I,ROW()-3),"")</f>
        <v>0</v>
      </c>
      <c r="G69" s="3">
        <f>IFERROR(INDEX('Invite Builder'!$G:$G,ROW()-3),"")</f>
        <v>0</v>
      </c>
      <c r="H69" s="3">
        <f>IFERROR(INDEX('Invite Builder'!$H:$H,ROW()-3),"")</f>
        <v>0</v>
      </c>
      <c r="I69" s="3">
        <f>IFERROR(INDEX('Invite Builder'!$T:$T,ROW()-3),"")</f>
        <v>0</v>
      </c>
    </row>
    <row r="70" spans="1:9">
      <c r="A70" s="3" t="str">
        <f>IFERROR(INDEX('Invite Builder'!$A:$A,ROW()-3),"")</f>
        <v/>
      </c>
      <c r="B70" s="3">
        <f>IFERROR(INDEX('Invite Builder'!$C:$C,ROW()-3),"")</f>
        <v>0</v>
      </c>
      <c r="C70" s="3">
        <f>IFERROR(INDEX('Invite Builder'!$D:$D,ROW()-3),"")</f>
        <v>0</v>
      </c>
      <c r="D70" s="3">
        <f>IFERROR(INDEX('Invite Builder'!$E:$E,ROW()-3),"")</f>
        <v>0</v>
      </c>
      <c r="E70" s="3">
        <f>IFERROR(INDEX('Invite Builder'!$B:$B,ROW()-3),"")</f>
        <v>0</v>
      </c>
      <c r="F70" s="3">
        <f>IFERROR(INDEX('Invite Builder'!$I:$I,ROW()-3),"")</f>
        <v>0</v>
      </c>
      <c r="G70" s="3">
        <f>IFERROR(INDEX('Invite Builder'!$G:$G,ROW()-3),"")</f>
        <v>0</v>
      </c>
      <c r="H70" s="3">
        <f>IFERROR(INDEX('Invite Builder'!$H:$H,ROW()-3),"")</f>
        <v>0</v>
      </c>
      <c r="I70" s="3">
        <f>IFERROR(INDEX('Invite Builder'!$T:$T,ROW()-3),"")</f>
        <v>0</v>
      </c>
    </row>
    <row r="71" spans="1:9">
      <c r="A71" s="3" t="str">
        <f>IFERROR(INDEX('Invite Builder'!$A:$A,ROW()-3),"")</f>
        <v/>
      </c>
      <c r="B71" s="3">
        <f>IFERROR(INDEX('Invite Builder'!$C:$C,ROW()-3),"")</f>
        <v>0</v>
      </c>
      <c r="C71" s="3">
        <f>IFERROR(INDEX('Invite Builder'!$D:$D,ROW()-3),"")</f>
        <v>0</v>
      </c>
      <c r="D71" s="3">
        <f>IFERROR(INDEX('Invite Builder'!$E:$E,ROW()-3),"")</f>
        <v>0</v>
      </c>
      <c r="E71" s="3">
        <f>IFERROR(INDEX('Invite Builder'!$B:$B,ROW()-3),"")</f>
        <v>0</v>
      </c>
      <c r="F71" s="3">
        <f>IFERROR(INDEX('Invite Builder'!$I:$I,ROW()-3),"")</f>
        <v>0</v>
      </c>
      <c r="G71" s="3">
        <f>IFERROR(INDEX('Invite Builder'!$G:$G,ROW()-3),"")</f>
        <v>0</v>
      </c>
      <c r="H71" s="3">
        <f>IFERROR(INDEX('Invite Builder'!$H:$H,ROW()-3),"")</f>
        <v>0</v>
      </c>
      <c r="I71" s="3">
        <f>IFERROR(INDEX('Invite Builder'!$T:$T,ROW()-3),"")</f>
        <v>0</v>
      </c>
    </row>
    <row r="72" spans="1:9">
      <c r="A72" s="3" t="str">
        <f>IFERROR(INDEX('Invite Builder'!$A:$A,ROW()-3),"")</f>
        <v/>
      </c>
      <c r="B72" s="3">
        <f>IFERROR(INDEX('Invite Builder'!$C:$C,ROW()-3),"")</f>
        <v>0</v>
      </c>
      <c r="C72" s="3">
        <f>IFERROR(INDEX('Invite Builder'!$D:$D,ROW()-3),"")</f>
        <v>0</v>
      </c>
      <c r="D72" s="3">
        <f>IFERROR(INDEX('Invite Builder'!$E:$E,ROW()-3),"")</f>
        <v>0</v>
      </c>
      <c r="E72" s="3">
        <f>IFERROR(INDEX('Invite Builder'!$B:$B,ROW()-3),"")</f>
        <v>0</v>
      </c>
      <c r="F72" s="3">
        <f>IFERROR(INDEX('Invite Builder'!$I:$I,ROW()-3),"")</f>
        <v>0</v>
      </c>
      <c r="G72" s="3">
        <f>IFERROR(INDEX('Invite Builder'!$G:$G,ROW()-3),"")</f>
        <v>0</v>
      </c>
      <c r="H72" s="3">
        <f>IFERROR(INDEX('Invite Builder'!$H:$H,ROW()-3),"")</f>
        <v>0</v>
      </c>
      <c r="I72" s="3">
        <f>IFERROR(INDEX('Invite Builder'!$T:$T,ROW()-3),"")</f>
        <v>0</v>
      </c>
    </row>
    <row r="73" spans="1:9">
      <c r="A73" s="3" t="str">
        <f>IFERROR(INDEX('Invite Builder'!$A:$A,ROW()-3),"")</f>
        <v/>
      </c>
      <c r="B73" s="3">
        <f>IFERROR(INDEX('Invite Builder'!$C:$C,ROW()-3),"")</f>
        <v>0</v>
      </c>
      <c r="C73" s="3">
        <f>IFERROR(INDEX('Invite Builder'!$D:$D,ROW()-3),"")</f>
        <v>0</v>
      </c>
      <c r="D73" s="3">
        <f>IFERROR(INDEX('Invite Builder'!$E:$E,ROW()-3),"")</f>
        <v>0</v>
      </c>
      <c r="E73" s="3">
        <f>IFERROR(INDEX('Invite Builder'!$B:$B,ROW()-3),"")</f>
        <v>0</v>
      </c>
      <c r="F73" s="3">
        <f>IFERROR(INDEX('Invite Builder'!$I:$I,ROW()-3),"")</f>
        <v>0</v>
      </c>
      <c r="G73" s="3">
        <f>IFERROR(INDEX('Invite Builder'!$G:$G,ROW()-3),"")</f>
        <v>0</v>
      </c>
      <c r="H73" s="3">
        <f>IFERROR(INDEX('Invite Builder'!$H:$H,ROW()-3),"")</f>
        <v>0</v>
      </c>
      <c r="I73" s="3">
        <f>IFERROR(INDEX('Invite Builder'!$T:$T,ROW()-3),"")</f>
        <v>0</v>
      </c>
    </row>
    <row r="74" spans="1:9">
      <c r="A74" s="3" t="str">
        <f>IFERROR(INDEX('Invite Builder'!$A:$A,ROW()-3),"")</f>
        <v/>
      </c>
      <c r="B74" s="3">
        <f>IFERROR(INDEX('Invite Builder'!$C:$C,ROW()-3),"")</f>
        <v>0</v>
      </c>
      <c r="C74" s="3">
        <f>IFERROR(INDEX('Invite Builder'!$D:$D,ROW()-3),"")</f>
        <v>0</v>
      </c>
      <c r="D74" s="3">
        <f>IFERROR(INDEX('Invite Builder'!$E:$E,ROW()-3),"")</f>
        <v>0</v>
      </c>
      <c r="E74" s="3">
        <f>IFERROR(INDEX('Invite Builder'!$B:$B,ROW()-3),"")</f>
        <v>0</v>
      </c>
      <c r="F74" s="3">
        <f>IFERROR(INDEX('Invite Builder'!$I:$I,ROW()-3),"")</f>
        <v>0</v>
      </c>
      <c r="G74" s="3">
        <f>IFERROR(INDEX('Invite Builder'!$G:$G,ROW()-3),"")</f>
        <v>0</v>
      </c>
      <c r="H74" s="3">
        <f>IFERROR(INDEX('Invite Builder'!$H:$H,ROW()-3),"")</f>
        <v>0</v>
      </c>
      <c r="I74" s="3">
        <f>IFERROR(INDEX('Invite Builder'!$T:$T,ROW()-3),"")</f>
        <v>0</v>
      </c>
    </row>
    <row r="75" spans="1:9">
      <c r="A75" s="3" t="str">
        <f>IFERROR(INDEX('Invite Builder'!$A:$A,ROW()-3),"")</f>
        <v/>
      </c>
      <c r="B75" s="3">
        <f>IFERROR(INDEX('Invite Builder'!$C:$C,ROW()-3),"")</f>
        <v>0</v>
      </c>
      <c r="C75" s="3">
        <f>IFERROR(INDEX('Invite Builder'!$D:$D,ROW()-3),"")</f>
        <v>0</v>
      </c>
      <c r="D75" s="3">
        <f>IFERROR(INDEX('Invite Builder'!$E:$E,ROW()-3),"")</f>
        <v>0</v>
      </c>
      <c r="E75" s="3">
        <f>IFERROR(INDEX('Invite Builder'!$B:$B,ROW()-3),"")</f>
        <v>0</v>
      </c>
      <c r="F75" s="3">
        <f>IFERROR(INDEX('Invite Builder'!$I:$I,ROW()-3),"")</f>
        <v>0</v>
      </c>
      <c r="G75" s="3">
        <f>IFERROR(INDEX('Invite Builder'!$G:$G,ROW()-3),"")</f>
        <v>0</v>
      </c>
      <c r="H75" s="3">
        <f>IFERROR(INDEX('Invite Builder'!$H:$H,ROW()-3),"")</f>
        <v>0</v>
      </c>
      <c r="I75" s="3">
        <f>IFERROR(INDEX('Invite Builder'!$T:$T,ROW()-3),"")</f>
        <v>0</v>
      </c>
    </row>
    <row r="76" spans="1:9">
      <c r="A76" s="3" t="str">
        <f>IFERROR(INDEX('Invite Builder'!$A:$A,ROW()-3),"")</f>
        <v/>
      </c>
      <c r="B76" s="3">
        <f>IFERROR(INDEX('Invite Builder'!$C:$C,ROW()-3),"")</f>
        <v>0</v>
      </c>
      <c r="C76" s="3">
        <f>IFERROR(INDEX('Invite Builder'!$D:$D,ROW()-3),"")</f>
        <v>0</v>
      </c>
      <c r="D76" s="3">
        <f>IFERROR(INDEX('Invite Builder'!$E:$E,ROW()-3),"")</f>
        <v>0</v>
      </c>
      <c r="E76" s="3">
        <f>IFERROR(INDEX('Invite Builder'!$B:$B,ROW()-3),"")</f>
        <v>0</v>
      </c>
      <c r="F76" s="3">
        <f>IFERROR(INDEX('Invite Builder'!$I:$I,ROW()-3),"")</f>
        <v>0</v>
      </c>
      <c r="G76" s="3">
        <f>IFERROR(INDEX('Invite Builder'!$G:$G,ROW()-3),"")</f>
        <v>0</v>
      </c>
      <c r="H76" s="3">
        <f>IFERROR(INDEX('Invite Builder'!$H:$H,ROW()-3),"")</f>
        <v>0</v>
      </c>
      <c r="I76" s="3">
        <f>IFERROR(INDEX('Invite Builder'!$T:$T,ROW()-3),"")</f>
        <v>0</v>
      </c>
    </row>
    <row r="77" spans="1:9">
      <c r="A77" s="3" t="str">
        <f>IFERROR(INDEX('Invite Builder'!$A:$A,ROW()-3),"")</f>
        <v/>
      </c>
      <c r="B77" s="3">
        <f>IFERROR(INDEX('Invite Builder'!$C:$C,ROW()-3),"")</f>
        <v>0</v>
      </c>
      <c r="C77" s="3">
        <f>IFERROR(INDEX('Invite Builder'!$D:$D,ROW()-3),"")</f>
        <v>0</v>
      </c>
      <c r="D77" s="3">
        <f>IFERROR(INDEX('Invite Builder'!$E:$E,ROW()-3),"")</f>
        <v>0</v>
      </c>
      <c r="E77" s="3">
        <f>IFERROR(INDEX('Invite Builder'!$B:$B,ROW()-3),"")</f>
        <v>0</v>
      </c>
      <c r="F77" s="3">
        <f>IFERROR(INDEX('Invite Builder'!$I:$I,ROW()-3),"")</f>
        <v>0</v>
      </c>
      <c r="G77" s="3">
        <f>IFERROR(INDEX('Invite Builder'!$G:$G,ROW()-3),"")</f>
        <v>0</v>
      </c>
      <c r="H77" s="3">
        <f>IFERROR(INDEX('Invite Builder'!$H:$H,ROW()-3),"")</f>
        <v>0</v>
      </c>
      <c r="I77" s="3">
        <f>IFERROR(INDEX('Invite Builder'!$T:$T,ROW()-3),"")</f>
        <v>0</v>
      </c>
    </row>
    <row r="78" spans="1:9">
      <c r="A78" s="3" t="str">
        <f>IFERROR(INDEX('Invite Builder'!$A:$A,ROW()-3),"")</f>
        <v/>
      </c>
      <c r="B78" s="3">
        <f>IFERROR(INDEX('Invite Builder'!$C:$C,ROW()-3),"")</f>
        <v>0</v>
      </c>
      <c r="C78" s="3">
        <f>IFERROR(INDEX('Invite Builder'!$D:$D,ROW()-3),"")</f>
        <v>0</v>
      </c>
      <c r="D78" s="3">
        <f>IFERROR(INDEX('Invite Builder'!$E:$E,ROW()-3),"")</f>
        <v>0</v>
      </c>
      <c r="E78" s="3">
        <f>IFERROR(INDEX('Invite Builder'!$B:$B,ROW()-3),"")</f>
        <v>0</v>
      </c>
      <c r="F78" s="3">
        <f>IFERROR(INDEX('Invite Builder'!$I:$I,ROW()-3),"")</f>
        <v>0</v>
      </c>
      <c r="G78" s="3">
        <f>IFERROR(INDEX('Invite Builder'!$G:$G,ROW()-3),"")</f>
        <v>0</v>
      </c>
      <c r="H78" s="3">
        <f>IFERROR(INDEX('Invite Builder'!$H:$H,ROW()-3),"")</f>
        <v>0</v>
      </c>
      <c r="I78" s="3">
        <f>IFERROR(INDEX('Invite Builder'!$T:$T,ROW()-3),"")</f>
        <v>0</v>
      </c>
    </row>
    <row r="79" spans="1:9">
      <c r="A79" s="3" t="str">
        <f>IFERROR(INDEX('Invite Builder'!$A:$A,ROW()-3),"")</f>
        <v/>
      </c>
      <c r="B79" s="3">
        <f>IFERROR(INDEX('Invite Builder'!$C:$C,ROW()-3),"")</f>
        <v>0</v>
      </c>
      <c r="C79" s="3">
        <f>IFERROR(INDEX('Invite Builder'!$D:$D,ROW()-3),"")</f>
        <v>0</v>
      </c>
      <c r="D79" s="3">
        <f>IFERROR(INDEX('Invite Builder'!$E:$E,ROW()-3),"")</f>
        <v>0</v>
      </c>
      <c r="E79" s="3">
        <f>IFERROR(INDEX('Invite Builder'!$B:$B,ROW()-3),"")</f>
        <v>0</v>
      </c>
      <c r="F79" s="3">
        <f>IFERROR(INDEX('Invite Builder'!$I:$I,ROW()-3),"")</f>
        <v>0</v>
      </c>
      <c r="G79" s="3">
        <f>IFERROR(INDEX('Invite Builder'!$G:$G,ROW()-3),"")</f>
        <v>0</v>
      </c>
      <c r="H79" s="3">
        <f>IFERROR(INDEX('Invite Builder'!$H:$H,ROW()-3),"")</f>
        <v>0</v>
      </c>
      <c r="I79" s="3">
        <f>IFERROR(INDEX('Invite Builder'!$T:$T,ROW()-3),"")</f>
        <v>0</v>
      </c>
    </row>
    <row r="80" spans="1:9">
      <c r="A80" s="3" t="str">
        <f>IFERROR(INDEX('Invite Builder'!$A:$A,ROW()-3),"")</f>
        <v/>
      </c>
      <c r="B80" s="3">
        <f>IFERROR(INDEX('Invite Builder'!$C:$C,ROW()-3),"")</f>
        <v>0</v>
      </c>
      <c r="C80" s="3">
        <f>IFERROR(INDEX('Invite Builder'!$D:$D,ROW()-3),"")</f>
        <v>0</v>
      </c>
      <c r="D80" s="3">
        <f>IFERROR(INDEX('Invite Builder'!$E:$E,ROW()-3),"")</f>
        <v>0</v>
      </c>
      <c r="E80" s="3">
        <f>IFERROR(INDEX('Invite Builder'!$B:$B,ROW()-3),"")</f>
        <v>0</v>
      </c>
      <c r="F80" s="3">
        <f>IFERROR(INDEX('Invite Builder'!$I:$I,ROW()-3),"")</f>
        <v>0</v>
      </c>
      <c r="G80" s="3">
        <f>IFERROR(INDEX('Invite Builder'!$G:$G,ROW()-3),"")</f>
        <v>0</v>
      </c>
      <c r="H80" s="3">
        <f>IFERROR(INDEX('Invite Builder'!$H:$H,ROW()-3),"")</f>
        <v>0</v>
      </c>
      <c r="I80" s="3">
        <f>IFERROR(INDEX('Invite Builder'!$T:$T,ROW()-3),"")</f>
        <v>0</v>
      </c>
    </row>
    <row r="81" spans="1:9">
      <c r="A81" s="3" t="str">
        <f>IFERROR(INDEX('Invite Builder'!$A:$A,ROW()-3),"")</f>
        <v/>
      </c>
      <c r="B81" s="3">
        <f>IFERROR(INDEX('Invite Builder'!$C:$C,ROW()-3),"")</f>
        <v>0</v>
      </c>
      <c r="C81" s="3">
        <f>IFERROR(INDEX('Invite Builder'!$D:$D,ROW()-3),"")</f>
        <v>0</v>
      </c>
      <c r="D81" s="3">
        <f>IFERROR(INDEX('Invite Builder'!$E:$E,ROW()-3),"")</f>
        <v>0</v>
      </c>
      <c r="E81" s="3">
        <f>IFERROR(INDEX('Invite Builder'!$B:$B,ROW()-3),"")</f>
        <v>0</v>
      </c>
      <c r="F81" s="3">
        <f>IFERROR(INDEX('Invite Builder'!$I:$I,ROW()-3),"")</f>
        <v>0</v>
      </c>
      <c r="G81" s="3">
        <f>IFERROR(INDEX('Invite Builder'!$G:$G,ROW()-3),"")</f>
        <v>0</v>
      </c>
      <c r="H81" s="3">
        <f>IFERROR(INDEX('Invite Builder'!$H:$H,ROW()-3),"")</f>
        <v>0</v>
      </c>
      <c r="I81" s="3">
        <f>IFERROR(INDEX('Invite Builder'!$T:$T,ROW()-3),"")</f>
        <v>0</v>
      </c>
    </row>
    <row r="82" spans="1:9">
      <c r="A82" s="3" t="str">
        <f>IFERROR(INDEX('Invite Builder'!$A:$A,ROW()-3),"")</f>
        <v/>
      </c>
      <c r="B82" s="3">
        <f>IFERROR(INDEX('Invite Builder'!$C:$C,ROW()-3),"")</f>
        <v>0</v>
      </c>
      <c r="C82" s="3">
        <f>IFERROR(INDEX('Invite Builder'!$D:$D,ROW()-3),"")</f>
        <v>0</v>
      </c>
      <c r="D82" s="3">
        <f>IFERROR(INDEX('Invite Builder'!$E:$E,ROW()-3),"")</f>
        <v>0</v>
      </c>
      <c r="E82" s="3">
        <f>IFERROR(INDEX('Invite Builder'!$B:$B,ROW()-3),"")</f>
        <v>0</v>
      </c>
      <c r="F82" s="3">
        <f>IFERROR(INDEX('Invite Builder'!$I:$I,ROW()-3),"")</f>
        <v>0</v>
      </c>
      <c r="G82" s="3">
        <f>IFERROR(INDEX('Invite Builder'!$G:$G,ROW()-3),"")</f>
        <v>0</v>
      </c>
      <c r="H82" s="3">
        <f>IFERROR(INDEX('Invite Builder'!$H:$H,ROW()-3),"")</f>
        <v>0</v>
      </c>
      <c r="I82" s="3">
        <f>IFERROR(INDEX('Invite Builder'!$T:$T,ROW()-3),"")</f>
        <v>0</v>
      </c>
    </row>
    <row r="83" spans="1:9">
      <c r="A83" s="3" t="str">
        <f>IFERROR(INDEX('Invite Builder'!$A:$A,ROW()-3),"")</f>
        <v/>
      </c>
      <c r="B83" s="3">
        <f>IFERROR(INDEX('Invite Builder'!$C:$C,ROW()-3),"")</f>
        <v>0</v>
      </c>
      <c r="C83" s="3">
        <f>IFERROR(INDEX('Invite Builder'!$D:$D,ROW()-3),"")</f>
        <v>0</v>
      </c>
      <c r="D83" s="3">
        <f>IFERROR(INDEX('Invite Builder'!$E:$E,ROW()-3),"")</f>
        <v>0</v>
      </c>
      <c r="E83" s="3">
        <f>IFERROR(INDEX('Invite Builder'!$B:$B,ROW()-3),"")</f>
        <v>0</v>
      </c>
      <c r="F83" s="3">
        <f>IFERROR(INDEX('Invite Builder'!$I:$I,ROW()-3),"")</f>
        <v>0</v>
      </c>
      <c r="G83" s="3">
        <f>IFERROR(INDEX('Invite Builder'!$G:$G,ROW()-3),"")</f>
        <v>0</v>
      </c>
      <c r="H83" s="3">
        <f>IFERROR(INDEX('Invite Builder'!$H:$H,ROW()-3),"")</f>
        <v>0</v>
      </c>
      <c r="I83" s="3">
        <f>IFERROR(INDEX('Invite Builder'!$T:$T,ROW()-3),"")</f>
        <v>0</v>
      </c>
    </row>
    <row r="84" spans="1:9">
      <c r="A84" s="3" t="str">
        <f>IFERROR(INDEX('Invite Builder'!$A:$A,ROW()-3),"")</f>
        <v/>
      </c>
      <c r="B84" s="3">
        <f>IFERROR(INDEX('Invite Builder'!$C:$C,ROW()-3),"")</f>
        <v>0</v>
      </c>
      <c r="C84" s="3">
        <f>IFERROR(INDEX('Invite Builder'!$D:$D,ROW()-3),"")</f>
        <v>0</v>
      </c>
      <c r="D84" s="3">
        <f>IFERROR(INDEX('Invite Builder'!$E:$E,ROW()-3),"")</f>
        <v>0</v>
      </c>
      <c r="E84" s="3">
        <f>IFERROR(INDEX('Invite Builder'!$B:$B,ROW()-3),"")</f>
        <v>0</v>
      </c>
      <c r="F84" s="3">
        <f>IFERROR(INDEX('Invite Builder'!$I:$I,ROW()-3),"")</f>
        <v>0</v>
      </c>
      <c r="G84" s="3">
        <f>IFERROR(INDEX('Invite Builder'!$G:$G,ROW()-3),"")</f>
        <v>0</v>
      </c>
      <c r="H84" s="3">
        <f>IFERROR(INDEX('Invite Builder'!$H:$H,ROW()-3),"")</f>
        <v>0</v>
      </c>
      <c r="I84" s="3">
        <f>IFERROR(INDEX('Invite Builder'!$T:$T,ROW()-3),"")</f>
        <v>0</v>
      </c>
    </row>
    <row r="85" spans="1:9">
      <c r="A85" s="3" t="str">
        <f>IFERROR(INDEX('Invite Builder'!$A:$A,ROW()-3),"")</f>
        <v/>
      </c>
      <c r="B85" s="3">
        <f>IFERROR(INDEX('Invite Builder'!$C:$C,ROW()-3),"")</f>
        <v>0</v>
      </c>
      <c r="C85" s="3">
        <f>IFERROR(INDEX('Invite Builder'!$D:$D,ROW()-3),"")</f>
        <v>0</v>
      </c>
      <c r="D85" s="3">
        <f>IFERROR(INDEX('Invite Builder'!$E:$E,ROW()-3),"")</f>
        <v>0</v>
      </c>
      <c r="E85" s="3">
        <f>IFERROR(INDEX('Invite Builder'!$B:$B,ROW()-3),"")</f>
        <v>0</v>
      </c>
      <c r="F85" s="3">
        <f>IFERROR(INDEX('Invite Builder'!$I:$I,ROW()-3),"")</f>
        <v>0</v>
      </c>
      <c r="G85" s="3">
        <f>IFERROR(INDEX('Invite Builder'!$G:$G,ROW()-3),"")</f>
        <v>0</v>
      </c>
      <c r="H85" s="3">
        <f>IFERROR(INDEX('Invite Builder'!$H:$H,ROW()-3),"")</f>
        <v>0</v>
      </c>
      <c r="I85" s="3">
        <f>IFERROR(INDEX('Invite Builder'!$T:$T,ROW()-3),"")</f>
        <v>0</v>
      </c>
    </row>
    <row r="86" spans="1:9">
      <c r="A86" s="3" t="str">
        <f>IFERROR(INDEX('Invite Builder'!$A:$A,ROW()-3),"")</f>
        <v/>
      </c>
      <c r="B86" s="3">
        <f>IFERROR(INDEX('Invite Builder'!$C:$C,ROW()-3),"")</f>
        <v>0</v>
      </c>
      <c r="C86" s="3">
        <f>IFERROR(INDEX('Invite Builder'!$D:$D,ROW()-3),"")</f>
        <v>0</v>
      </c>
      <c r="D86" s="3">
        <f>IFERROR(INDEX('Invite Builder'!$E:$E,ROW()-3),"")</f>
        <v>0</v>
      </c>
      <c r="E86" s="3">
        <f>IFERROR(INDEX('Invite Builder'!$B:$B,ROW()-3),"")</f>
        <v>0</v>
      </c>
      <c r="F86" s="3">
        <f>IFERROR(INDEX('Invite Builder'!$I:$I,ROW()-3),"")</f>
        <v>0</v>
      </c>
      <c r="G86" s="3">
        <f>IFERROR(INDEX('Invite Builder'!$G:$G,ROW()-3),"")</f>
        <v>0</v>
      </c>
      <c r="H86" s="3">
        <f>IFERROR(INDEX('Invite Builder'!$H:$H,ROW()-3),"")</f>
        <v>0</v>
      </c>
      <c r="I86" s="3">
        <f>IFERROR(INDEX('Invite Builder'!$T:$T,ROW()-3),"")</f>
        <v>0</v>
      </c>
    </row>
    <row r="87" spans="1:9">
      <c r="A87" s="3" t="str">
        <f>IFERROR(INDEX('Invite Builder'!$A:$A,ROW()-3),"")</f>
        <v/>
      </c>
      <c r="B87" s="3">
        <f>IFERROR(INDEX('Invite Builder'!$C:$C,ROW()-3),"")</f>
        <v>0</v>
      </c>
      <c r="C87" s="3">
        <f>IFERROR(INDEX('Invite Builder'!$D:$D,ROW()-3),"")</f>
        <v>0</v>
      </c>
      <c r="D87" s="3">
        <f>IFERROR(INDEX('Invite Builder'!$E:$E,ROW()-3),"")</f>
        <v>0</v>
      </c>
      <c r="E87" s="3">
        <f>IFERROR(INDEX('Invite Builder'!$B:$B,ROW()-3),"")</f>
        <v>0</v>
      </c>
      <c r="F87" s="3">
        <f>IFERROR(INDEX('Invite Builder'!$I:$I,ROW()-3),"")</f>
        <v>0</v>
      </c>
      <c r="G87" s="3">
        <f>IFERROR(INDEX('Invite Builder'!$G:$G,ROW()-3),"")</f>
        <v>0</v>
      </c>
      <c r="H87" s="3">
        <f>IFERROR(INDEX('Invite Builder'!$H:$H,ROW()-3),"")</f>
        <v>0</v>
      </c>
      <c r="I87" s="3">
        <f>IFERROR(INDEX('Invite Builder'!$T:$T,ROW()-3),"")</f>
        <v>0</v>
      </c>
    </row>
    <row r="88" spans="1:9">
      <c r="A88" s="3" t="str">
        <f>IFERROR(INDEX('Invite Builder'!$A:$A,ROW()-3),"")</f>
        <v/>
      </c>
      <c r="B88" s="3">
        <f>IFERROR(INDEX('Invite Builder'!$C:$C,ROW()-3),"")</f>
        <v>0</v>
      </c>
      <c r="C88" s="3">
        <f>IFERROR(INDEX('Invite Builder'!$D:$D,ROW()-3),"")</f>
        <v>0</v>
      </c>
      <c r="D88" s="3">
        <f>IFERROR(INDEX('Invite Builder'!$E:$E,ROW()-3),"")</f>
        <v>0</v>
      </c>
      <c r="E88" s="3">
        <f>IFERROR(INDEX('Invite Builder'!$B:$B,ROW()-3),"")</f>
        <v>0</v>
      </c>
      <c r="F88" s="3">
        <f>IFERROR(INDEX('Invite Builder'!$I:$I,ROW()-3),"")</f>
        <v>0</v>
      </c>
      <c r="G88" s="3">
        <f>IFERROR(INDEX('Invite Builder'!$G:$G,ROW()-3),"")</f>
        <v>0</v>
      </c>
      <c r="H88" s="3">
        <f>IFERROR(INDEX('Invite Builder'!$H:$H,ROW()-3),"")</f>
        <v>0</v>
      </c>
      <c r="I88" s="3">
        <f>IFERROR(INDEX('Invite Builder'!$T:$T,ROW()-3),"")</f>
        <v>0</v>
      </c>
    </row>
    <row r="89" spans="1:9">
      <c r="A89" s="3" t="str">
        <f>IFERROR(INDEX('Invite Builder'!$A:$A,ROW()-3),"")</f>
        <v/>
      </c>
      <c r="B89" s="3">
        <f>IFERROR(INDEX('Invite Builder'!$C:$C,ROW()-3),"")</f>
        <v>0</v>
      </c>
      <c r="C89" s="3">
        <f>IFERROR(INDEX('Invite Builder'!$D:$D,ROW()-3),"")</f>
        <v>0</v>
      </c>
      <c r="D89" s="3">
        <f>IFERROR(INDEX('Invite Builder'!$E:$E,ROW()-3),"")</f>
        <v>0</v>
      </c>
      <c r="E89" s="3">
        <f>IFERROR(INDEX('Invite Builder'!$B:$B,ROW()-3),"")</f>
        <v>0</v>
      </c>
      <c r="F89" s="3">
        <f>IFERROR(INDEX('Invite Builder'!$I:$I,ROW()-3),"")</f>
        <v>0</v>
      </c>
      <c r="G89" s="3">
        <f>IFERROR(INDEX('Invite Builder'!$G:$G,ROW()-3),"")</f>
        <v>0</v>
      </c>
      <c r="H89" s="3">
        <f>IFERROR(INDEX('Invite Builder'!$H:$H,ROW()-3),"")</f>
        <v>0</v>
      </c>
      <c r="I89" s="3">
        <f>IFERROR(INDEX('Invite Builder'!$T:$T,ROW()-3),"")</f>
        <v>0</v>
      </c>
    </row>
    <row r="90" spans="1:9">
      <c r="A90" s="3" t="str">
        <f>IFERROR(INDEX('Invite Builder'!$A:$A,ROW()-3),"")</f>
        <v/>
      </c>
      <c r="B90" s="3">
        <f>IFERROR(INDEX('Invite Builder'!$C:$C,ROW()-3),"")</f>
        <v>0</v>
      </c>
      <c r="C90" s="3">
        <f>IFERROR(INDEX('Invite Builder'!$D:$D,ROW()-3),"")</f>
        <v>0</v>
      </c>
      <c r="D90" s="3">
        <f>IFERROR(INDEX('Invite Builder'!$E:$E,ROW()-3),"")</f>
        <v>0</v>
      </c>
      <c r="E90" s="3">
        <f>IFERROR(INDEX('Invite Builder'!$B:$B,ROW()-3),"")</f>
        <v>0</v>
      </c>
      <c r="F90" s="3">
        <f>IFERROR(INDEX('Invite Builder'!$I:$I,ROW()-3),"")</f>
        <v>0</v>
      </c>
      <c r="G90" s="3">
        <f>IFERROR(INDEX('Invite Builder'!$G:$G,ROW()-3),"")</f>
        <v>0</v>
      </c>
      <c r="H90" s="3">
        <f>IFERROR(INDEX('Invite Builder'!$H:$H,ROW()-3),"")</f>
        <v>0</v>
      </c>
      <c r="I90" s="3">
        <f>IFERROR(INDEX('Invite Builder'!$T:$T,ROW()-3),"")</f>
        <v>0</v>
      </c>
    </row>
    <row r="91" spans="1:9">
      <c r="A91" s="3" t="str">
        <f>IFERROR(INDEX('Invite Builder'!$A:$A,ROW()-3),"")</f>
        <v/>
      </c>
      <c r="B91" s="3">
        <f>IFERROR(INDEX('Invite Builder'!$C:$C,ROW()-3),"")</f>
        <v>0</v>
      </c>
      <c r="C91" s="3">
        <f>IFERROR(INDEX('Invite Builder'!$D:$D,ROW()-3),"")</f>
        <v>0</v>
      </c>
      <c r="D91" s="3">
        <f>IFERROR(INDEX('Invite Builder'!$E:$E,ROW()-3),"")</f>
        <v>0</v>
      </c>
      <c r="E91" s="3">
        <f>IFERROR(INDEX('Invite Builder'!$B:$B,ROW()-3),"")</f>
        <v>0</v>
      </c>
      <c r="F91" s="3">
        <f>IFERROR(INDEX('Invite Builder'!$I:$I,ROW()-3),"")</f>
        <v>0</v>
      </c>
      <c r="G91" s="3">
        <f>IFERROR(INDEX('Invite Builder'!$G:$G,ROW()-3),"")</f>
        <v>0</v>
      </c>
      <c r="H91" s="3">
        <f>IFERROR(INDEX('Invite Builder'!$H:$H,ROW()-3),"")</f>
        <v>0</v>
      </c>
      <c r="I91" s="3">
        <f>IFERROR(INDEX('Invite Builder'!$T:$T,ROW()-3),"")</f>
        <v>0</v>
      </c>
    </row>
    <row r="92" spans="1:9">
      <c r="A92" s="3" t="str">
        <f>IFERROR(INDEX('Invite Builder'!$A:$A,ROW()-3),"")</f>
        <v/>
      </c>
      <c r="B92" s="3">
        <f>IFERROR(INDEX('Invite Builder'!$C:$C,ROW()-3),"")</f>
        <v>0</v>
      </c>
      <c r="C92" s="3">
        <f>IFERROR(INDEX('Invite Builder'!$D:$D,ROW()-3),"")</f>
        <v>0</v>
      </c>
      <c r="D92" s="3">
        <f>IFERROR(INDEX('Invite Builder'!$E:$E,ROW()-3),"")</f>
        <v>0</v>
      </c>
      <c r="E92" s="3">
        <f>IFERROR(INDEX('Invite Builder'!$B:$B,ROW()-3),"")</f>
        <v>0</v>
      </c>
      <c r="F92" s="3">
        <f>IFERROR(INDEX('Invite Builder'!$I:$I,ROW()-3),"")</f>
        <v>0</v>
      </c>
      <c r="G92" s="3">
        <f>IFERROR(INDEX('Invite Builder'!$G:$G,ROW()-3),"")</f>
        <v>0</v>
      </c>
      <c r="H92" s="3">
        <f>IFERROR(INDEX('Invite Builder'!$H:$H,ROW()-3),"")</f>
        <v>0</v>
      </c>
      <c r="I92" s="3">
        <f>IFERROR(INDEX('Invite Builder'!$T:$T,ROW()-3),"")</f>
        <v>0</v>
      </c>
    </row>
    <row r="93" spans="1:9">
      <c r="A93" s="3" t="str">
        <f>IFERROR(INDEX('Invite Builder'!$A:$A,ROW()-3),"")</f>
        <v/>
      </c>
      <c r="B93" s="3">
        <f>IFERROR(INDEX('Invite Builder'!$C:$C,ROW()-3),"")</f>
        <v>0</v>
      </c>
      <c r="C93" s="3">
        <f>IFERROR(INDEX('Invite Builder'!$D:$D,ROW()-3),"")</f>
        <v>0</v>
      </c>
      <c r="D93" s="3">
        <f>IFERROR(INDEX('Invite Builder'!$E:$E,ROW()-3),"")</f>
        <v>0</v>
      </c>
      <c r="E93" s="3">
        <f>IFERROR(INDEX('Invite Builder'!$B:$B,ROW()-3),"")</f>
        <v>0</v>
      </c>
      <c r="F93" s="3">
        <f>IFERROR(INDEX('Invite Builder'!$I:$I,ROW()-3),"")</f>
        <v>0</v>
      </c>
      <c r="G93" s="3">
        <f>IFERROR(INDEX('Invite Builder'!$G:$G,ROW()-3),"")</f>
        <v>0</v>
      </c>
      <c r="H93" s="3">
        <f>IFERROR(INDEX('Invite Builder'!$H:$H,ROW()-3),"")</f>
        <v>0</v>
      </c>
      <c r="I93" s="3">
        <f>IFERROR(INDEX('Invite Builder'!$T:$T,ROW()-3),"")</f>
        <v>0</v>
      </c>
    </row>
    <row r="94" spans="1:9">
      <c r="A94" s="3" t="str">
        <f>IFERROR(INDEX('Invite Builder'!$A:$A,ROW()-3),"")</f>
        <v/>
      </c>
      <c r="B94" s="3">
        <f>IFERROR(INDEX('Invite Builder'!$C:$C,ROW()-3),"")</f>
        <v>0</v>
      </c>
      <c r="C94" s="3">
        <f>IFERROR(INDEX('Invite Builder'!$D:$D,ROW()-3),"")</f>
        <v>0</v>
      </c>
      <c r="D94" s="3">
        <f>IFERROR(INDEX('Invite Builder'!$E:$E,ROW()-3),"")</f>
        <v>0</v>
      </c>
      <c r="E94" s="3">
        <f>IFERROR(INDEX('Invite Builder'!$B:$B,ROW()-3),"")</f>
        <v>0</v>
      </c>
      <c r="F94" s="3">
        <f>IFERROR(INDEX('Invite Builder'!$I:$I,ROW()-3),"")</f>
        <v>0</v>
      </c>
      <c r="G94" s="3">
        <f>IFERROR(INDEX('Invite Builder'!$G:$G,ROW()-3),"")</f>
        <v>0</v>
      </c>
      <c r="H94" s="3">
        <f>IFERROR(INDEX('Invite Builder'!$H:$H,ROW()-3),"")</f>
        <v>0</v>
      </c>
      <c r="I94" s="3">
        <f>IFERROR(INDEX('Invite Builder'!$T:$T,ROW()-3),"")</f>
        <v>0</v>
      </c>
    </row>
    <row r="95" spans="1:9">
      <c r="A95" s="3" t="str">
        <f>IFERROR(INDEX('Invite Builder'!$A:$A,ROW()-3),"")</f>
        <v/>
      </c>
      <c r="B95" s="3">
        <f>IFERROR(INDEX('Invite Builder'!$C:$C,ROW()-3),"")</f>
        <v>0</v>
      </c>
      <c r="C95" s="3">
        <f>IFERROR(INDEX('Invite Builder'!$D:$D,ROW()-3),"")</f>
        <v>0</v>
      </c>
      <c r="D95" s="3">
        <f>IFERROR(INDEX('Invite Builder'!$E:$E,ROW()-3),"")</f>
        <v>0</v>
      </c>
      <c r="E95" s="3">
        <f>IFERROR(INDEX('Invite Builder'!$B:$B,ROW()-3),"")</f>
        <v>0</v>
      </c>
      <c r="F95" s="3">
        <f>IFERROR(INDEX('Invite Builder'!$I:$I,ROW()-3),"")</f>
        <v>0</v>
      </c>
      <c r="G95" s="3">
        <f>IFERROR(INDEX('Invite Builder'!$G:$G,ROW()-3),"")</f>
        <v>0</v>
      </c>
      <c r="H95" s="3">
        <f>IFERROR(INDEX('Invite Builder'!$H:$H,ROW()-3),"")</f>
        <v>0</v>
      </c>
      <c r="I95" s="3">
        <f>IFERROR(INDEX('Invite Builder'!$T:$T,ROW()-3),"")</f>
        <v>0</v>
      </c>
    </row>
    <row r="96" spans="1:9">
      <c r="A96" s="3" t="str">
        <f>IFERROR(INDEX('Invite Builder'!$A:$A,ROW()-3),"")</f>
        <v/>
      </c>
      <c r="B96" s="3">
        <f>IFERROR(INDEX('Invite Builder'!$C:$C,ROW()-3),"")</f>
        <v>0</v>
      </c>
      <c r="C96" s="3">
        <f>IFERROR(INDEX('Invite Builder'!$D:$D,ROW()-3),"")</f>
        <v>0</v>
      </c>
      <c r="D96" s="3">
        <f>IFERROR(INDEX('Invite Builder'!$E:$E,ROW()-3),"")</f>
        <v>0</v>
      </c>
      <c r="E96" s="3">
        <f>IFERROR(INDEX('Invite Builder'!$B:$B,ROW()-3),"")</f>
        <v>0</v>
      </c>
      <c r="F96" s="3">
        <f>IFERROR(INDEX('Invite Builder'!$I:$I,ROW()-3),"")</f>
        <v>0</v>
      </c>
      <c r="G96" s="3">
        <f>IFERROR(INDEX('Invite Builder'!$G:$G,ROW()-3),"")</f>
        <v>0</v>
      </c>
      <c r="H96" s="3">
        <f>IFERROR(INDEX('Invite Builder'!$H:$H,ROW()-3),"")</f>
        <v>0</v>
      </c>
      <c r="I96" s="3">
        <f>IFERROR(INDEX('Invite Builder'!$T:$T,ROW()-3),"")</f>
        <v>0</v>
      </c>
    </row>
    <row r="97" spans="1:9">
      <c r="A97" s="3" t="str">
        <f>IFERROR(INDEX('Invite Builder'!$A:$A,ROW()-3),"")</f>
        <v/>
      </c>
      <c r="B97" s="3">
        <f>IFERROR(INDEX('Invite Builder'!$C:$C,ROW()-3),"")</f>
        <v>0</v>
      </c>
      <c r="C97" s="3">
        <f>IFERROR(INDEX('Invite Builder'!$D:$D,ROW()-3),"")</f>
        <v>0</v>
      </c>
      <c r="D97" s="3">
        <f>IFERROR(INDEX('Invite Builder'!$E:$E,ROW()-3),"")</f>
        <v>0</v>
      </c>
      <c r="E97" s="3">
        <f>IFERROR(INDEX('Invite Builder'!$B:$B,ROW()-3),"")</f>
        <v>0</v>
      </c>
      <c r="F97" s="3">
        <f>IFERROR(INDEX('Invite Builder'!$I:$I,ROW()-3),"")</f>
        <v>0</v>
      </c>
      <c r="G97" s="3">
        <f>IFERROR(INDEX('Invite Builder'!$G:$G,ROW()-3),"")</f>
        <v>0</v>
      </c>
      <c r="H97" s="3">
        <f>IFERROR(INDEX('Invite Builder'!$H:$H,ROW()-3),"")</f>
        <v>0</v>
      </c>
      <c r="I97" s="3">
        <f>IFERROR(INDEX('Invite Builder'!$T:$T,ROW()-3),"")</f>
        <v>0</v>
      </c>
    </row>
    <row r="98" spans="1:9">
      <c r="A98" s="3" t="str">
        <f>IFERROR(INDEX('Invite Builder'!$A:$A,ROW()-3),"")</f>
        <v/>
      </c>
      <c r="B98" s="3">
        <f>IFERROR(INDEX('Invite Builder'!$C:$C,ROW()-3),"")</f>
        <v>0</v>
      </c>
      <c r="C98" s="3">
        <f>IFERROR(INDEX('Invite Builder'!$D:$D,ROW()-3),"")</f>
        <v>0</v>
      </c>
      <c r="D98" s="3">
        <f>IFERROR(INDEX('Invite Builder'!$E:$E,ROW()-3),"")</f>
        <v>0</v>
      </c>
      <c r="E98" s="3">
        <f>IFERROR(INDEX('Invite Builder'!$B:$B,ROW()-3),"")</f>
        <v>0</v>
      </c>
      <c r="F98" s="3">
        <f>IFERROR(INDEX('Invite Builder'!$I:$I,ROW()-3),"")</f>
        <v>0</v>
      </c>
      <c r="G98" s="3">
        <f>IFERROR(INDEX('Invite Builder'!$G:$G,ROW()-3),"")</f>
        <v>0</v>
      </c>
      <c r="H98" s="3">
        <f>IFERROR(INDEX('Invite Builder'!$H:$H,ROW()-3),"")</f>
        <v>0</v>
      </c>
      <c r="I98" s="3">
        <f>IFERROR(INDEX('Invite Builder'!$T:$T,ROW()-3),"")</f>
        <v>0</v>
      </c>
    </row>
    <row r="99" spans="1:9">
      <c r="A99" s="3" t="str">
        <f>IFERROR(INDEX('Invite Builder'!$A:$A,ROW()-3),"")</f>
        <v/>
      </c>
      <c r="B99" s="3">
        <f>IFERROR(INDEX('Invite Builder'!$C:$C,ROW()-3),"")</f>
        <v>0</v>
      </c>
      <c r="C99" s="3">
        <f>IFERROR(INDEX('Invite Builder'!$D:$D,ROW()-3),"")</f>
        <v>0</v>
      </c>
      <c r="D99" s="3">
        <f>IFERROR(INDEX('Invite Builder'!$E:$E,ROW()-3),"")</f>
        <v>0</v>
      </c>
      <c r="E99" s="3">
        <f>IFERROR(INDEX('Invite Builder'!$B:$B,ROW()-3),"")</f>
        <v>0</v>
      </c>
      <c r="F99" s="3">
        <f>IFERROR(INDEX('Invite Builder'!$I:$I,ROW()-3),"")</f>
        <v>0</v>
      </c>
      <c r="G99" s="3">
        <f>IFERROR(INDEX('Invite Builder'!$G:$G,ROW()-3),"")</f>
        <v>0</v>
      </c>
      <c r="H99" s="3">
        <f>IFERROR(INDEX('Invite Builder'!$H:$H,ROW()-3),"")</f>
        <v>0</v>
      </c>
      <c r="I99" s="3">
        <f>IFERROR(INDEX('Invite Builder'!$T:$T,ROW()-3),"")</f>
        <v>0</v>
      </c>
    </row>
    <row r="100" spans="1:9">
      <c r="A100" s="3" t="str">
        <f>IFERROR(INDEX('Invite Builder'!$A:$A,ROW()-3),"")</f>
        <v/>
      </c>
      <c r="B100" s="3">
        <f>IFERROR(INDEX('Invite Builder'!$C:$C,ROW()-3),"")</f>
        <v>0</v>
      </c>
      <c r="C100" s="3">
        <f>IFERROR(INDEX('Invite Builder'!$D:$D,ROW()-3),"")</f>
        <v>0</v>
      </c>
      <c r="D100" s="3">
        <f>IFERROR(INDEX('Invite Builder'!$E:$E,ROW()-3),"")</f>
        <v>0</v>
      </c>
      <c r="E100" s="3">
        <f>IFERROR(INDEX('Invite Builder'!$B:$B,ROW()-3),"")</f>
        <v>0</v>
      </c>
      <c r="F100" s="3">
        <f>IFERROR(INDEX('Invite Builder'!$I:$I,ROW()-3),"")</f>
        <v>0</v>
      </c>
      <c r="G100" s="3">
        <f>IFERROR(INDEX('Invite Builder'!$G:$G,ROW()-3),"")</f>
        <v>0</v>
      </c>
      <c r="H100" s="3">
        <f>IFERROR(INDEX('Invite Builder'!$H:$H,ROW()-3),"")</f>
        <v>0</v>
      </c>
      <c r="I100" s="3">
        <f>IFERROR(INDEX('Invite Builder'!$T:$T,ROW()-3),"")</f>
        <v>0</v>
      </c>
    </row>
    <row r="101" spans="1:9">
      <c r="A101" s="3" t="str">
        <f>IFERROR(INDEX('Invite Builder'!$A:$A,ROW()-3),"")</f>
        <v/>
      </c>
      <c r="B101" s="3">
        <f>IFERROR(INDEX('Invite Builder'!$C:$C,ROW()-3),"")</f>
        <v>0</v>
      </c>
      <c r="C101" s="3">
        <f>IFERROR(INDEX('Invite Builder'!$D:$D,ROW()-3),"")</f>
        <v>0</v>
      </c>
      <c r="D101" s="3">
        <f>IFERROR(INDEX('Invite Builder'!$E:$E,ROW()-3),"")</f>
        <v>0</v>
      </c>
      <c r="E101" s="3">
        <f>IFERROR(INDEX('Invite Builder'!$B:$B,ROW()-3),"")</f>
        <v>0</v>
      </c>
      <c r="F101" s="3">
        <f>IFERROR(INDEX('Invite Builder'!$I:$I,ROW()-3),"")</f>
        <v>0</v>
      </c>
      <c r="G101" s="3">
        <f>IFERROR(INDEX('Invite Builder'!$G:$G,ROW()-3),"")</f>
        <v>0</v>
      </c>
      <c r="H101" s="3">
        <f>IFERROR(INDEX('Invite Builder'!$H:$H,ROW()-3),"")</f>
        <v>0</v>
      </c>
      <c r="I101" s="3">
        <f>IFERROR(INDEX('Invite Builder'!$T:$T,ROW()-3),"")</f>
        <v>0</v>
      </c>
    </row>
    <row r="102" spans="1:9">
      <c r="A102" s="3" t="str">
        <f>IFERROR(INDEX('Invite Builder'!$A:$A,ROW()-3),"")</f>
        <v/>
      </c>
      <c r="B102" s="3">
        <f>IFERROR(INDEX('Invite Builder'!$C:$C,ROW()-3),"")</f>
        <v>0</v>
      </c>
      <c r="C102" s="3">
        <f>IFERROR(INDEX('Invite Builder'!$D:$D,ROW()-3),"")</f>
        <v>0</v>
      </c>
      <c r="D102" s="3">
        <f>IFERROR(INDEX('Invite Builder'!$E:$E,ROW()-3),"")</f>
        <v>0</v>
      </c>
      <c r="E102" s="3">
        <f>IFERROR(INDEX('Invite Builder'!$B:$B,ROW()-3),"")</f>
        <v>0</v>
      </c>
      <c r="F102" s="3">
        <f>IFERROR(INDEX('Invite Builder'!$I:$I,ROW()-3),"")</f>
        <v>0</v>
      </c>
      <c r="G102" s="3">
        <f>IFERROR(INDEX('Invite Builder'!$G:$G,ROW()-3),"")</f>
        <v>0</v>
      </c>
      <c r="H102" s="3">
        <f>IFERROR(INDEX('Invite Builder'!$H:$H,ROW()-3),"")</f>
        <v>0</v>
      </c>
      <c r="I102" s="3">
        <f>IFERROR(INDEX('Invite Builder'!$T:$T,ROW()-3),"")</f>
        <v>0</v>
      </c>
    </row>
    <row r="103" spans="1:9">
      <c r="A103" s="3" t="str">
        <f>IFERROR(INDEX('Invite Builder'!$A:$A,ROW()-3),"")</f>
        <v/>
      </c>
      <c r="B103" s="3">
        <f>IFERROR(INDEX('Invite Builder'!$C:$C,ROW()-3),"")</f>
        <v>0</v>
      </c>
      <c r="C103" s="3">
        <f>IFERROR(INDEX('Invite Builder'!$D:$D,ROW()-3),"")</f>
        <v>0</v>
      </c>
      <c r="D103" s="3">
        <f>IFERROR(INDEX('Invite Builder'!$E:$E,ROW()-3),"")</f>
        <v>0</v>
      </c>
      <c r="E103" s="3">
        <f>IFERROR(INDEX('Invite Builder'!$B:$B,ROW()-3),"")</f>
        <v>0</v>
      </c>
      <c r="F103" s="3">
        <f>IFERROR(INDEX('Invite Builder'!$I:$I,ROW()-3),"")</f>
        <v>0</v>
      </c>
      <c r="G103" s="3">
        <f>IFERROR(INDEX('Invite Builder'!$G:$G,ROW()-3),"")</f>
        <v>0</v>
      </c>
      <c r="H103" s="3">
        <f>IFERROR(INDEX('Invite Builder'!$H:$H,ROW()-3),"")</f>
        <v>0</v>
      </c>
      <c r="I103" s="3">
        <f>IFERROR(INDEX('Invite Builder'!$T:$T,ROW()-3),"")</f>
        <v>0</v>
      </c>
    </row>
    <row r="104" spans="1:9">
      <c r="A104" s="3" t="str">
        <f>IFERROR(INDEX('Invite Builder'!$A:$A,ROW()-3),"")</f>
        <v/>
      </c>
      <c r="B104" s="3">
        <f>IFERROR(INDEX('Invite Builder'!$C:$C,ROW()-3),"")</f>
        <v>0</v>
      </c>
      <c r="C104" s="3">
        <f>IFERROR(INDEX('Invite Builder'!$D:$D,ROW()-3),"")</f>
        <v>0</v>
      </c>
      <c r="D104" s="3">
        <f>IFERROR(INDEX('Invite Builder'!$E:$E,ROW()-3),"")</f>
        <v>0</v>
      </c>
      <c r="E104" s="3">
        <f>IFERROR(INDEX('Invite Builder'!$B:$B,ROW()-3),"")</f>
        <v>0</v>
      </c>
      <c r="F104" s="3">
        <f>IFERROR(INDEX('Invite Builder'!$I:$I,ROW()-3),"")</f>
        <v>0</v>
      </c>
      <c r="G104" s="3">
        <f>IFERROR(INDEX('Invite Builder'!$G:$G,ROW()-3),"")</f>
        <v>0</v>
      </c>
      <c r="H104" s="3">
        <f>IFERROR(INDEX('Invite Builder'!$H:$H,ROW()-3),"")</f>
        <v>0</v>
      </c>
      <c r="I104" s="3">
        <f>IFERROR(INDEX('Invite Builder'!$T:$T,ROW()-3),"")</f>
        <v>0</v>
      </c>
    </row>
    <row r="105" spans="1:9">
      <c r="A105" s="3" t="str">
        <f>IFERROR(INDEX('Invite Builder'!$A:$A,ROW()-3),"")</f>
        <v/>
      </c>
      <c r="B105" s="3">
        <f>IFERROR(INDEX('Invite Builder'!$C:$C,ROW()-3),"")</f>
        <v>0</v>
      </c>
      <c r="C105" s="3">
        <f>IFERROR(INDEX('Invite Builder'!$D:$D,ROW()-3),"")</f>
        <v>0</v>
      </c>
      <c r="D105" s="3">
        <f>IFERROR(INDEX('Invite Builder'!$E:$E,ROW()-3),"")</f>
        <v>0</v>
      </c>
      <c r="E105" s="3">
        <f>IFERROR(INDEX('Invite Builder'!$B:$B,ROW()-3),"")</f>
        <v>0</v>
      </c>
      <c r="F105" s="3">
        <f>IFERROR(INDEX('Invite Builder'!$I:$I,ROW()-3),"")</f>
        <v>0</v>
      </c>
      <c r="G105" s="3">
        <f>IFERROR(INDEX('Invite Builder'!$G:$G,ROW()-3),"")</f>
        <v>0</v>
      </c>
      <c r="H105" s="3">
        <f>IFERROR(INDEX('Invite Builder'!$H:$H,ROW()-3),"")</f>
        <v>0</v>
      </c>
      <c r="I105" s="3">
        <f>IFERROR(INDEX('Invite Builder'!$T:$T,ROW()-3),"")</f>
        <v>0</v>
      </c>
    </row>
    <row r="106" spans="1:9">
      <c r="A106" s="3" t="str">
        <f>IFERROR(INDEX('Invite Builder'!$A:$A,ROW()-3),"")</f>
        <v/>
      </c>
      <c r="B106" s="3">
        <f>IFERROR(INDEX('Invite Builder'!$C:$C,ROW()-3),"")</f>
        <v>0</v>
      </c>
      <c r="C106" s="3">
        <f>IFERROR(INDEX('Invite Builder'!$D:$D,ROW()-3),"")</f>
        <v>0</v>
      </c>
      <c r="D106" s="3">
        <f>IFERROR(INDEX('Invite Builder'!$E:$E,ROW()-3),"")</f>
        <v>0</v>
      </c>
      <c r="E106" s="3">
        <f>IFERROR(INDEX('Invite Builder'!$B:$B,ROW()-3),"")</f>
        <v>0</v>
      </c>
      <c r="F106" s="3">
        <f>IFERROR(INDEX('Invite Builder'!$I:$I,ROW()-3),"")</f>
        <v>0</v>
      </c>
      <c r="G106" s="3">
        <f>IFERROR(INDEX('Invite Builder'!$G:$G,ROW()-3),"")</f>
        <v>0</v>
      </c>
      <c r="H106" s="3">
        <f>IFERROR(INDEX('Invite Builder'!$H:$H,ROW()-3),"")</f>
        <v>0</v>
      </c>
      <c r="I106" s="3">
        <f>IFERROR(INDEX('Invite Builder'!$T:$T,ROW()-3),"")</f>
        <v>0</v>
      </c>
    </row>
    <row r="107" spans="1:9">
      <c r="A107" s="3" t="str">
        <f>IFERROR(INDEX('Invite Builder'!$A:$A,ROW()-3),"")</f>
        <v/>
      </c>
      <c r="B107" s="3">
        <f>IFERROR(INDEX('Invite Builder'!$C:$C,ROW()-3),"")</f>
        <v>0</v>
      </c>
      <c r="C107" s="3">
        <f>IFERROR(INDEX('Invite Builder'!$D:$D,ROW()-3),"")</f>
        <v>0</v>
      </c>
      <c r="D107" s="3">
        <f>IFERROR(INDEX('Invite Builder'!$E:$E,ROW()-3),"")</f>
        <v>0</v>
      </c>
      <c r="E107" s="3">
        <f>IFERROR(INDEX('Invite Builder'!$B:$B,ROW()-3),"")</f>
        <v>0</v>
      </c>
      <c r="F107" s="3">
        <f>IFERROR(INDEX('Invite Builder'!$I:$I,ROW()-3),"")</f>
        <v>0</v>
      </c>
      <c r="G107" s="3">
        <f>IFERROR(INDEX('Invite Builder'!$G:$G,ROW()-3),"")</f>
        <v>0</v>
      </c>
      <c r="H107" s="3">
        <f>IFERROR(INDEX('Invite Builder'!$H:$H,ROW()-3),"")</f>
        <v>0</v>
      </c>
      <c r="I107" s="3">
        <f>IFERROR(INDEX('Invite Builder'!$T:$T,ROW()-3),"")</f>
        <v>0</v>
      </c>
    </row>
    <row r="108" spans="1:9">
      <c r="A108" s="3" t="str">
        <f>IFERROR(INDEX('Invite Builder'!$A:$A,ROW()-3),"")</f>
        <v/>
      </c>
      <c r="B108" s="3">
        <f>IFERROR(INDEX('Invite Builder'!$C:$C,ROW()-3),"")</f>
        <v>0</v>
      </c>
      <c r="C108" s="3">
        <f>IFERROR(INDEX('Invite Builder'!$D:$D,ROW()-3),"")</f>
        <v>0</v>
      </c>
      <c r="D108" s="3">
        <f>IFERROR(INDEX('Invite Builder'!$E:$E,ROW()-3),"")</f>
        <v>0</v>
      </c>
      <c r="E108" s="3">
        <f>IFERROR(INDEX('Invite Builder'!$B:$B,ROW()-3),"")</f>
        <v>0</v>
      </c>
      <c r="F108" s="3">
        <f>IFERROR(INDEX('Invite Builder'!$I:$I,ROW()-3),"")</f>
        <v>0</v>
      </c>
      <c r="G108" s="3">
        <f>IFERROR(INDEX('Invite Builder'!$G:$G,ROW()-3),"")</f>
        <v>0</v>
      </c>
      <c r="H108" s="3">
        <f>IFERROR(INDEX('Invite Builder'!$H:$H,ROW()-3),"")</f>
        <v>0</v>
      </c>
      <c r="I108" s="3">
        <f>IFERROR(INDEX('Invite Builder'!$T:$T,ROW()-3),"")</f>
        <v>0</v>
      </c>
    </row>
    <row r="109" spans="1:9">
      <c r="A109" s="3" t="str">
        <f>IFERROR(INDEX('Invite Builder'!$A:$A,ROW()-3),"")</f>
        <v/>
      </c>
      <c r="B109" s="3">
        <f>IFERROR(INDEX('Invite Builder'!$C:$C,ROW()-3),"")</f>
        <v>0</v>
      </c>
      <c r="C109" s="3">
        <f>IFERROR(INDEX('Invite Builder'!$D:$D,ROW()-3),"")</f>
        <v>0</v>
      </c>
      <c r="D109" s="3">
        <f>IFERROR(INDEX('Invite Builder'!$E:$E,ROW()-3),"")</f>
        <v>0</v>
      </c>
      <c r="E109" s="3">
        <f>IFERROR(INDEX('Invite Builder'!$B:$B,ROW()-3),"")</f>
        <v>0</v>
      </c>
      <c r="F109" s="3">
        <f>IFERROR(INDEX('Invite Builder'!$I:$I,ROW()-3),"")</f>
        <v>0</v>
      </c>
      <c r="G109" s="3">
        <f>IFERROR(INDEX('Invite Builder'!$G:$G,ROW()-3),"")</f>
        <v>0</v>
      </c>
      <c r="H109" s="3">
        <f>IFERROR(INDEX('Invite Builder'!$H:$H,ROW()-3),"")</f>
        <v>0</v>
      </c>
      <c r="I109" s="3">
        <f>IFERROR(INDEX('Invite Builder'!$T:$T,ROW()-3),"")</f>
        <v>0</v>
      </c>
    </row>
    <row r="110" spans="1:9">
      <c r="A110" s="3" t="str">
        <f>IFERROR(INDEX('Invite Builder'!$A:$A,ROW()-3),"")</f>
        <v/>
      </c>
      <c r="B110" s="3">
        <f>IFERROR(INDEX('Invite Builder'!$C:$C,ROW()-3),"")</f>
        <v>0</v>
      </c>
      <c r="C110" s="3">
        <f>IFERROR(INDEX('Invite Builder'!$D:$D,ROW()-3),"")</f>
        <v>0</v>
      </c>
      <c r="D110" s="3">
        <f>IFERROR(INDEX('Invite Builder'!$E:$E,ROW()-3),"")</f>
        <v>0</v>
      </c>
      <c r="E110" s="3">
        <f>IFERROR(INDEX('Invite Builder'!$B:$B,ROW()-3),"")</f>
        <v>0</v>
      </c>
      <c r="F110" s="3">
        <f>IFERROR(INDEX('Invite Builder'!$I:$I,ROW()-3),"")</f>
        <v>0</v>
      </c>
      <c r="G110" s="3">
        <f>IFERROR(INDEX('Invite Builder'!$G:$G,ROW()-3),"")</f>
        <v>0</v>
      </c>
      <c r="H110" s="3">
        <f>IFERROR(INDEX('Invite Builder'!$H:$H,ROW()-3),"")</f>
        <v>0</v>
      </c>
      <c r="I110" s="3">
        <f>IFERROR(INDEX('Invite Builder'!$T:$T,ROW()-3),"")</f>
        <v>0</v>
      </c>
    </row>
    <row r="111" spans="1:9">
      <c r="A111" s="3" t="str">
        <f>IFERROR(INDEX('Invite Builder'!$A:$A,ROW()-3),"")</f>
        <v/>
      </c>
      <c r="B111" s="3">
        <f>IFERROR(INDEX('Invite Builder'!$C:$C,ROW()-3),"")</f>
        <v>0</v>
      </c>
      <c r="C111" s="3">
        <f>IFERROR(INDEX('Invite Builder'!$D:$D,ROW()-3),"")</f>
        <v>0</v>
      </c>
      <c r="D111" s="3">
        <f>IFERROR(INDEX('Invite Builder'!$E:$E,ROW()-3),"")</f>
        <v>0</v>
      </c>
      <c r="E111" s="3">
        <f>IFERROR(INDEX('Invite Builder'!$B:$B,ROW()-3),"")</f>
        <v>0</v>
      </c>
      <c r="F111" s="3">
        <f>IFERROR(INDEX('Invite Builder'!$I:$I,ROW()-3),"")</f>
        <v>0</v>
      </c>
      <c r="G111" s="3">
        <f>IFERROR(INDEX('Invite Builder'!$G:$G,ROW()-3),"")</f>
        <v>0</v>
      </c>
      <c r="H111" s="3">
        <f>IFERROR(INDEX('Invite Builder'!$H:$H,ROW()-3),"")</f>
        <v>0</v>
      </c>
      <c r="I111" s="3">
        <f>IFERROR(INDEX('Invite Builder'!$T:$T,ROW()-3),"")</f>
        <v>0</v>
      </c>
    </row>
    <row r="112" spans="1:9">
      <c r="A112" s="3" t="str">
        <f>IFERROR(INDEX('Invite Builder'!$A:$A,ROW()-3),"")</f>
        <v/>
      </c>
      <c r="B112" s="3">
        <f>IFERROR(INDEX('Invite Builder'!$C:$C,ROW()-3),"")</f>
        <v>0</v>
      </c>
      <c r="C112" s="3">
        <f>IFERROR(INDEX('Invite Builder'!$D:$D,ROW()-3),"")</f>
        <v>0</v>
      </c>
      <c r="D112" s="3">
        <f>IFERROR(INDEX('Invite Builder'!$E:$E,ROW()-3),"")</f>
        <v>0</v>
      </c>
      <c r="E112" s="3">
        <f>IFERROR(INDEX('Invite Builder'!$B:$B,ROW()-3),"")</f>
        <v>0</v>
      </c>
      <c r="F112" s="3">
        <f>IFERROR(INDEX('Invite Builder'!$I:$I,ROW()-3),"")</f>
        <v>0</v>
      </c>
      <c r="G112" s="3">
        <f>IFERROR(INDEX('Invite Builder'!$G:$G,ROW()-3),"")</f>
        <v>0</v>
      </c>
      <c r="H112" s="3">
        <f>IFERROR(INDEX('Invite Builder'!$H:$H,ROW()-3),"")</f>
        <v>0</v>
      </c>
      <c r="I112" s="3">
        <f>IFERROR(INDEX('Invite Builder'!$T:$T,ROW()-3),"")</f>
        <v>0</v>
      </c>
    </row>
    <row r="113" spans="1:9">
      <c r="A113" s="3" t="str">
        <f>IFERROR(INDEX('Invite Builder'!$A:$A,ROW()-3),"")</f>
        <v/>
      </c>
      <c r="B113" s="3">
        <f>IFERROR(INDEX('Invite Builder'!$C:$C,ROW()-3),"")</f>
        <v>0</v>
      </c>
      <c r="C113" s="3">
        <f>IFERROR(INDEX('Invite Builder'!$D:$D,ROW()-3),"")</f>
        <v>0</v>
      </c>
      <c r="D113" s="3">
        <f>IFERROR(INDEX('Invite Builder'!$E:$E,ROW()-3),"")</f>
        <v>0</v>
      </c>
      <c r="E113" s="3">
        <f>IFERROR(INDEX('Invite Builder'!$B:$B,ROW()-3),"")</f>
        <v>0</v>
      </c>
      <c r="F113" s="3">
        <f>IFERROR(INDEX('Invite Builder'!$I:$I,ROW()-3),"")</f>
        <v>0</v>
      </c>
      <c r="G113" s="3">
        <f>IFERROR(INDEX('Invite Builder'!$G:$G,ROW()-3),"")</f>
        <v>0</v>
      </c>
      <c r="H113" s="3">
        <f>IFERROR(INDEX('Invite Builder'!$H:$H,ROW()-3),"")</f>
        <v>0</v>
      </c>
      <c r="I113" s="3">
        <f>IFERROR(INDEX('Invite Builder'!$T:$T,ROW()-3),"")</f>
        <v>0</v>
      </c>
    </row>
    <row r="114" spans="1:9">
      <c r="A114" s="3" t="str">
        <f>IFERROR(INDEX('Invite Builder'!$A:$A,ROW()-3),"")</f>
        <v/>
      </c>
      <c r="B114" s="3">
        <f>IFERROR(INDEX('Invite Builder'!$C:$C,ROW()-3),"")</f>
        <v>0</v>
      </c>
      <c r="C114" s="3">
        <f>IFERROR(INDEX('Invite Builder'!$D:$D,ROW()-3),"")</f>
        <v>0</v>
      </c>
      <c r="D114" s="3">
        <f>IFERROR(INDEX('Invite Builder'!$E:$E,ROW()-3),"")</f>
        <v>0</v>
      </c>
      <c r="E114" s="3">
        <f>IFERROR(INDEX('Invite Builder'!$B:$B,ROW()-3),"")</f>
        <v>0</v>
      </c>
      <c r="F114" s="3">
        <f>IFERROR(INDEX('Invite Builder'!$I:$I,ROW()-3),"")</f>
        <v>0</v>
      </c>
      <c r="G114" s="3">
        <f>IFERROR(INDEX('Invite Builder'!$G:$G,ROW()-3),"")</f>
        <v>0</v>
      </c>
      <c r="H114" s="3">
        <f>IFERROR(INDEX('Invite Builder'!$H:$H,ROW()-3),"")</f>
        <v>0</v>
      </c>
      <c r="I114" s="3">
        <f>IFERROR(INDEX('Invite Builder'!$T:$T,ROW()-3),"")</f>
        <v>0</v>
      </c>
    </row>
    <row r="115" spans="1:9">
      <c r="A115" s="3" t="str">
        <f>IFERROR(INDEX('Invite Builder'!$A:$A,ROW()-3),"")</f>
        <v/>
      </c>
      <c r="B115" s="3">
        <f>IFERROR(INDEX('Invite Builder'!$C:$C,ROW()-3),"")</f>
        <v>0</v>
      </c>
      <c r="C115" s="3">
        <f>IFERROR(INDEX('Invite Builder'!$D:$D,ROW()-3),"")</f>
        <v>0</v>
      </c>
      <c r="D115" s="3">
        <f>IFERROR(INDEX('Invite Builder'!$E:$E,ROW()-3),"")</f>
        <v>0</v>
      </c>
      <c r="E115" s="3">
        <f>IFERROR(INDEX('Invite Builder'!$B:$B,ROW()-3),"")</f>
        <v>0</v>
      </c>
      <c r="F115" s="3">
        <f>IFERROR(INDEX('Invite Builder'!$I:$I,ROW()-3),"")</f>
        <v>0</v>
      </c>
      <c r="G115" s="3">
        <f>IFERROR(INDEX('Invite Builder'!$G:$G,ROW()-3),"")</f>
        <v>0</v>
      </c>
      <c r="H115" s="3">
        <f>IFERROR(INDEX('Invite Builder'!$H:$H,ROW()-3),"")</f>
        <v>0</v>
      </c>
      <c r="I115" s="3">
        <f>IFERROR(INDEX('Invite Builder'!$T:$T,ROW()-3),"")</f>
        <v>0</v>
      </c>
    </row>
    <row r="116" spans="1:9">
      <c r="A116" s="3" t="str">
        <f>IFERROR(INDEX('Invite Builder'!$A:$A,ROW()-3),"")</f>
        <v/>
      </c>
      <c r="B116" s="3">
        <f>IFERROR(INDEX('Invite Builder'!$C:$C,ROW()-3),"")</f>
        <v>0</v>
      </c>
      <c r="C116" s="3">
        <f>IFERROR(INDEX('Invite Builder'!$D:$D,ROW()-3),"")</f>
        <v>0</v>
      </c>
      <c r="D116" s="3">
        <f>IFERROR(INDEX('Invite Builder'!$E:$E,ROW()-3),"")</f>
        <v>0</v>
      </c>
      <c r="E116" s="3">
        <f>IFERROR(INDEX('Invite Builder'!$B:$B,ROW()-3),"")</f>
        <v>0</v>
      </c>
      <c r="F116" s="3">
        <f>IFERROR(INDEX('Invite Builder'!$I:$I,ROW()-3),"")</f>
        <v>0</v>
      </c>
      <c r="G116" s="3">
        <f>IFERROR(INDEX('Invite Builder'!$G:$G,ROW()-3),"")</f>
        <v>0</v>
      </c>
      <c r="H116" s="3">
        <f>IFERROR(INDEX('Invite Builder'!$H:$H,ROW()-3),"")</f>
        <v>0</v>
      </c>
      <c r="I116" s="3">
        <f>IFERROR(INDEX('Invite Builder'!$T:$T,ROW()-3),"")</f>
        <v>0</v>
      </c>
    </row>
    <row r="117" spans="1:9">
      <c r="A117" s="3" t="str">
        <f>IFERROR(INDEX('Invite Builder'!$A:$A,ROW()-3),"")</f>
        <v/>
      </c>
      <c r="B117" s="3">
        <f>IFERROR(INDEX('Invite Builder'!$C:$C,ROW()-3),"")</f>
        <v>0</v>
      </c>
      <c r="C117" s="3">
        <f>IFERROR(INDEX('Invite Builder'!$D:$D,ROW()-3),"")</f>
        <v>0</v>
      </c>
      <c r="D117" s="3">
        <f>IFERROR(INDEX('Invite Builder'!$E:$E,ROW()-3),"")</f>
        <v>0</v>
      </c>
      <c r="E117" s="3">
        <f>IFERROR(INDEX('Invite Builder'!$B:$B,ROW()-3),"")</f>
        <v>0</v>
      </c>
      <c r="F117" s="3">
        <f>IFERROR(INDEX('Invite Builder'!$I:$I,ROW()-3),"")</f>
        <v>0</v>
      </c>
      <c r="G117" s="3">
        <f>IFERROR(INDEX('Invite Builder'!$G:$G,ROW()-3),"")</f>
        <v>0</v>
      </c>
      <c r="H117" s="3">
        <f>IFERROR(INDEX('Invite Builder'!$H:$H,ROW()-3),"")</f>
        <v>0</v>
      </c>
      <c r="I117" s="3">
        <f>IFERROR(INDEX('Invite Builder'!$T:$T,ROW()-3),"")</f>
        <v>0</v>
      </c>
    </row>
    <row r="118" spans="1:9">
      <c r="A118" s="3" t="str">
        <f>IFERROR(INDEX('Invite Builder'!$A:$A,ROW()-3),"")</f>
        <v/>
      </c>
      <c r="B118" s="3">
        <f>IFERROR(INDEX('Invite Builder'!$C:$C,ROW()-3),"")</f>
        <v>0</v>
      </c>
      <c r="C118" s="3">
        <f>IFERROR(INDEX('Invite Builder'!$D:$D,ROW()-3),"")</f>
        <v>0</v>
      </c>
      <c r="D118" s="3">
        <f>IFERROR(INDEX('Invite Builder'!$E:$E,ROW()-3),"")</f>
        <v>0</v>
      </c>
      <c r="E118" s="3">
        <f>IFERROR(INDEX('Invite Builder'!$B:$B,ROW()-3),"")</f>
        <v>0</v>
      </c>
      <c r="F118" s="3">
        <f>IFERROR(INDEX('Invite Builder'!$I:$I,ROW()-3),"")</f>
        <v>0</v>
      </c>
      <c r="G118" s="3">
        <f>IFERROR(INDEX('Invite Builder'!$G:$G,ROW()-3),"")</f>
        <v>0</v>
      </c>
      <c r="H118" s="3">
        <f>IFERROR(INDEX('Invite Builder'!$H:$H,ROW()-3),"")</f>
        <v>0</v>
      </c>
      <c r="I118" s="3">
        <f>IFERROR(INDEX('Invite Builder'!$T:$T,ROW()-3),"")</f>
        <v>0</v>
      </c>
    </row>
    <row r="119" spans="1:9">
      <c r="A119" s="3" t="str">
        <f>IFERROR(INDEX('Invite Builder'!$A:$A,ROW()-3),"")</f>
        <v/>
      </c>
      <c r="B119" s="3">
        <f>IFERROR(INDEX('Invite Builder'!$C:$C,ROW()-3),"")</f>
        <v>0</v>
      </c>
      <c r="C119" s="3">
        <f>IFERROR(INDEX('Invite Builder'!$D:$D,ROW()-3),"")</f>
        <v>0</v>
      </c>
      <c r="D119" s="3">
        <f>IFERROR(INDEX('Invite Builder'!$E:$E,ROW()-3),"")</f>
        <v>0</v>
      </c>
      <c r="E119" s="3">
        <f>IFERROR(INDEX('Invite Builder'!$B:$B,ROW()-3),"")</f>
        <v>0</v>
      </c>
      <c r="F119" s="3">
        <f>IFERROR(INDEX('Invite Builder'!$I:$I,ROW()-3),"")</f>
        <v>0</v>
      </c>
      <c r="G119" s="3">
        <f>IFERROR(INDEX('Invite Builder'!$G:$G,ROW()-3),"")</f>
        <v>0</v>
      </c>
      <c r="H119" s="3">
        <f>IFERROR(INDEX('Invite Builder'!$H:$H,ROW()-3),"")</f>
        <v>0</v>
      </c>
      <c r="I119" s="3">
        <f>IFERROR(INDEX('Invite Builder'!$T:$T,ROW()-3),"")</f>
        <v>0</v>
      </c>
    </row>
    <row r="120" spans="1:9">
      <c r="A120" s="3" t="str">
        <f>IFERROR(INDEX('Invite Builder'!$A:$A,ROW()-3),"")</f>
        <v/>
      </c>
      <c r="B120" s="3">
        <f>IFERROR(INDEX('Invite Builder'!$C:$C,ROW()-3),"")</f>
        <v>0</v>
      </c>
      <c r="C120" s="3">
        <f>IFERROR(INDEX('Invite Builder'!$D:$D,ROW()-3),"")</f>
        <v>0</v>
      </c>
      <c r="D120" s="3">
        <f>IFERROR(INDEX('Invite Builder'!$E:$E,ROW()-3),"")</f>
        <v>0</v>
      </c>
      <c r="E120" s="3">
        <f>IFERROR(INDEX('Invite Builder'!$B:$B,ROW()-3),"")</f>
        <v>0</v>
      </c>
      <c r="F120" s="3">
        <f>IFERROR(INDEX('Invite Builder'!$I:$I,ROW()-3),"")</f>
        <v>0</v>
      </c>
      <c r="G120" s="3">
        <f>IFERROR(INDEX('Invite Builder'!$G:$G,ROW()-3),"")</f>
        <v>0</v>
      </c>
      <c r="H120" s="3">
        <f>IFERROR(INDEX('Invite Builder'!$H:$H,ROW()-3),"")</f>
        <v>0</v>
      </c>
      <c r="I120" s="3">
        <f>IFERROR(INDEX('Invite Builder'!$T:$T,ROW()-3),"")</f>
        <v>0</v>
      </c>
    </row>
    <row r="121" spans="1:9">
      <c r="A121" s="3" t="str">
        <f>IFERROR(INDEX('Invite Builder'!$A:$A,ROW()-3),"")</f>
        <v/>
      </c>
      <c r="B121" s="3">
        <f>IFERROR(INDEX('Invite Builder'!$C:$C,ROW()-3),"")</f>
        <v>0</v>
      </c>
      <c r="C121" s="3">
        <f>IFERROR(INDEX('Invite Builder'!$D:$D,ROW()-3),"")</f>
        <v>0</v>
      </c>
      <c r="D121" s="3">
        <f>IFERROR(INDEX('Invite Builder'!$E:$E,ROW()-3),"")</f>
        <v>0</v>
      </c>
      <c r="E121" s="3">
        <f>IFERROR(INDEX('Invite Builder'!$B:$B,ROW()-3),"")</f>
        <v>0</v>
      </c>
      <c r="F121" s="3">
        <f>IFERROR(INDEX('Invite Builder'!$I:$I,ROW()-3),"")</f>
        <v>0</v>
      </c>
      <c r="G121" s="3">
        <f>IFERROR(INDEX('Invite Builder'!$G:$G,ROW()-3),"")</f>
        <v>0</v>
      </c>
      <c r="H121" s="3">
        <f>IFERROR(INDEX('Invite Builder'!$H:$H,ROW()-3),"")</f>
        <v>0</v>
      </c>
      <c r="I121" s="3">
        <f>IFERROR(INDEX('Invite Builder'!$T:$T,ROW()-3),"")</f>
        <v>0</v>
      </c>
    </row>
    <row r="122" spans="1:9">
      <c r="A122" s="3" t="str">
        <f>IFERROR(INDEX('Invite Builder'!$A:$A,ROW()-3),"")</f>
        <v/>
      </c>
      <c r="B122" s="3">
        <f>IFERROR(INDEX('Invite Builder'!$C:$C,ROW()-3),"")</f>
        <v>0</v>
      </c>
      <c r="C122" s="3">
        <f>IFERROR(INDEX('Invite Builder'!$D:$D,ROW()-3),"")</f>
        <v>0</v>
      </c>
      <c r="D122" s="3">
        <f>IFERROR(INDEX('Invite Builder'!$E:$E,ROW()-3),"")</f>
        <v>0</v>
      </c>
      <c r="E122" s="3">
        <f>IFERROR(INDEX('Invite Builder'!$B:$B,ROW()-3),"")</f>
        <v>0</v>
      </c>
      <c r="F122" s="3">
        <f>IFERROR(INDEX('Invite Builder'!$I:$I,ROW()-3),"")</f>
        <v>0</v>
      </c>
      <c r="G122" s="3">
        <f>IFERROR(INDEX('Invite Builder'!$G:$G,ROW()-3),"")</f>
        <v>0</v>
      </c>
      <c r="H122" s="3">
        <f>IFERROR(INDEX('Invite Builder'!$H:$H,ROW()-3),"")</f>
        <v>0</v>
      </c>
      <c r="I122" s="3">
        <f>IFERROR(INDEX('Invite Builder'!$T:$T,ROW()-3),"")</f>
        <v>0</v>
      </c>
    </row>
    <row r="123" spans="1:9">
      <c r="A123" s="3" t="str">
        <f>IFERROR(INDEX('Invite Builder'!$A:$A,ROW()-3),"")</f>
        <v/>
      </c>
      <c r="B123" s="3">
        <f>IFERROR(INDEX('Invite Builder'!$C:$C,ROW()-3),"")</f>
        <v>0</v>
      </c>
      <c r="C123" s="3">
        <f>IFERROR(INDEX('Invite Builder'!$D:$D,ROW()-3),"")</f>
        <v>0</v>
      </c>
      <c r="D123" s="3">
        <f>IFERROR(INDEX('Invite Builder'!$E:$E,ROW()-3),"")</f>
        <v>0</v>
      </c>
      <c r="E123" s="3">
        <f>IFERROR(INDEX('Invite Builder'!$B:$B,ROW()-3),"")</f>
        <v>0</v>
      </c>
      <c r="F123" s="3">
        <f>IFERROR(INDEX('Invite Builder'!$I:$I,ROW()-3),"")</f>
        <v>0</v>
      </c>
      <c r="G123" s="3">
        <f>IFERROR(INDEX('Invite Builder'!$G:$G,ROW()-3),"")</f>
        <v>0</v>
      </c>
      <c r="H123" s="3">
        <f>IFERROR(INDEX('Invite Builder'!$H:$H,ROW()-3),"")</f>
        <v>0</v>
      </c>
      <c r="I123" s="3">
        <f>IFERROR(INDEX('Invite Builder'!$T:$T,ROW()-3),"")</f>
        <v>0</v>
      </c>
    </row>
    <row r="124" spans="1:9">
      <c r="A124" s="3" t="str">
        <f>IFERROR(INDEX('Invite Builder'!$A:$A,ROW()-3),"")</f>
        <v/>
      </c>
      <c r="B124" s="3">
        <f>IFERROR(INDEX('Invite Builder'!$C:$C,ROW()-3),"")</f>
        <v>0</v>
      </c>
      <c r="C124" s="3">
        <f>IFERROR(INDEX('Invite Builder'!$D:$D,ROW()-3),"")</f>
        <v>0</v>
      </c>
      <c r="D124" s="3">
        <f>IFERROR(INDEX('Invite Builder'!$E:$E,ROW()-3),"")</f>
        <v>0</v>
      </c>
      <c r="E124" s="3">
        <f>IFERROR(INDEX('Invite Builder'!$B:$B,ROW()-3),"")</f>
        <v>0</v>
      </c>
      <c r="F124" s="3">
        <f>IFERROR(INDEX('Invite Builder'!$I:$I,ROW()-3),"")</f>
        <v>0</v>
      </c>
      <c r="G124" s="3">
        <f>IFERROR(INDEX('Invite Builder'!$G:$G,ROW()-3),"")</f>
        <v>0</v>
      </c>
      <c r="H124" s="3">
        <f>IFERROR(INDEX('Invite Builder'!$H:$H,ROW()-3),"")</f>
        <v>0</v>
      </c>
      <c r="I124" s="3">
        <f>IFERROR(INDEX('Invite Builder'!$T:$T,ROW()-3),"")</f>
        <v>0</v>
      </c>
    </row>
    <row r="125" spans="1:9">
      <c r="A125" s="3" t="str">
        <f>IFERROR(INDEX('Invite Builder'!$A:$A,ROW()-3),"")</f>
        <v/>
      </c>
      <c r="B125" s="3">
        <f>IFERROR(INDEX('Invite Builder'!$C:$C,ROW()-3),"")</f>
        <v>0</v>
      </c>
      <c r="C125" s="3">
        <f>IFERROR(INDEX('Invite Builder'!$D:$D,ROW()-3),"")</f>
        <v>0</v>
      </c>
      <c r="D125" s="3">
        <f>IFERROR(INDEX('Invite Builder'!$E:$E,ROW()-3),"")</f>
        <v>0</v>
      </c>
      <c r="E125" s="3">
        <f>IFERROR(INDEX('Invite Builder'!$B:$B,ROW()-3),"")</f>
        <v>0</v>
      </c>
      <c r="F125" s="3">
        <f>IFERROR(INDEX('Invite Builder'!$I:$I,ROW()-3),"")</f>
        <v>0</v>
      </c>
      <c r="G125" s="3">
        <f>IFERROR(INDEX('Invite Builder'!$G:$G,ROW()-3),"")</f>
        <v>0</v>
      </c>
      <c r="H125" s="3">
        <f>IFERROR(INDEX('Invite Builder'!$H:$H,ROW()-3),"")</f>
        <v>0</v>
      </c>
      <c r="I125" s="3">
        <f>IFERROR(INDEX('Invite Builder'!$T:$T,ROW()-3),"")</f>
        <v>0</v>
      </c>
    </row>
    <row r="126" spans="1:9">
      <c r="A126" s="3" t="str">
        <f>IFERROR(INDEX('Invite Builder'!$A:$A,ROW()-3),"")</f>
        <v/>
      </c>
      <c r="B126" s="3">
        <f>IFERROR(INDEX('Invite Builder'!$C:$C,ROW()-3),"")</f>
        <v>0</v>
      </c>
      <c r="C126" s="3">
        <f>IFERROR(INDEX('Invite Builder'!$D:$D,ROW()-3),"")</f>
        <v>0</v>
      </c>
      <c r="D126" s="3">
        <f>IFERROR(INDEX('Invite Builder'!$E:$E,ROW()-3),"")</f>
        <v>0</v>
      </c>
      <c r="E126" s="3">
        <f>IFERROR(INDEX('Invite Builder'!$B:$B,ROW()-3),"")</f>
        <v>0</v>
      </c>
      <c r="F126" s="3">
        <f>IFERROR(INDEX('Invite Builder'!$I:$I,ROW()-3),"")</f>
        <v>0</v>
      </c>
      <c r="G126" s="3">
        <f>IFERROR(INDEX('Invite Builder'!$G:$G,ROW()-3),"")</f>
        <v>0</v>
      </c>
      <c r="H126" s="3">
        <f>IFERROR(INDEX('Invite Builder'!$H:$H,ROW()-3),"")</f>
        <v>0</v>
      </c>
      <c r="I126" s="3">
        <f>IFERROR(INDEX('Invite Builder'!$T:$T,ROW()-3),"")</f>
        <v>0</v>
      </c>
    </row>
    <row r="127" spans="1:9">
      <c r="A127" s="3" t="str">
        <f>IFERROR(INDEX('Invite Builder'!$A:$A,ROW()-3),"")</f>
        <v/>
      </c>
      <c r="B127" s="3">
        <f>IFERROR(INDEX('Invite Builder'!$C:$C,ROW()-3),"")</f>
        <v>0</v>
      </c>
      <c r="C127" s="3">
        <f>IFERROR(INDEX('Invite Builder'!$D:$D,ROW()-3),"")</f>
        <v>0</v>
      </c>
      <c r="D127" s="3">
        <f>IFERROR(INDEX('Invite Builder'!$E:$E,ROW()-3),"")</f>
        <v>0</v>
      </c>
      <c r="E127" s="3">
        <f>IFERROR(INDEX('Invite Builder'!$B:$B,ROW()-3),"")</f>
        <v>0</v>
      </c>
      <c r="F127" s="3">
        <f>IFERROR(INDEX('Invite Builder'!$I:$I,ROW()-3),"")</f>
        <v>0</v>
      </c>
      <c r="G127" s="3">
        <f>IFERROR(INDEX('Invite Builder'!$G:$G,ROW()-3),"")</f>
        <v>0</v>
      </c>
      <c r="H127" s="3">
        <f>IFERROR(INDEX('Invite Builder'!$H:$H,ROW()-3),"")</f>
        <v>0</v>
      </c>
      <c r="I127" s="3">
        <f>IFERROR(INDEX('Invite Builder'!$T:$T,ROW()-3),"")</f>
        <v>0</v>
      </c>
    </row>
    <row r="128" spans="1:9">
      <c r="A128" s="3" t="str">
        <f>IFERROR(INDEX('Invite Builder'!$A:$A,ROW()-3),"")</f>
        <v/>
      </c>
      <c r="B128" s="3">
        <f>IFERROR(INDEX('Invite Builder'!$C:$C,ROW()-3),"")</f>
        <v>0</v>
      </c>
      <c r="C128" s="3">
        <f>IFERROR(INDEX('Invite Builder'!$D:$D,ROW()-3),"")</f>
        <v>0</v>
      </c>
      <c r="D128" s="3">
        <f>IFERROR(INDEX('Invite Builder'!$E:$E,ROW()-3),"")</f>
        <v>0</v>
      </c>
      <c r="E128" s="3">
        <f>IFERROR(INDEX('Invite Builder'!$B:$B,ROW()-3),"")</f>
        <v>0</v>
      </c>
      <c r="F128" s="3">
        <f>IFERROR(INDEX('Invite Builder'!$I:$I,ROW()-3),"")</f>
        <v>0</v>
      </c>
      <c r="G128" s="3">
        <f>IFERROR(INDEX('Invite Builder'!$G:$G,ROW()-3),"")</f>
        <v>0</v>
      </c>
      <c r="H128" s="3">
        <f>IFERROR(INDEX('Invite Builder'!$H:$H,ROW()-3),"")</f>
        <v>0</v>
      </c>
      <c r="I128" s="3">
        <f>IFERROR(INDEX('Invite Builder'!$T:$T,ROW()-3),"")</f>
        <v>0</v>
      </c>
    </row>
    <row r="129" spans="1:9">
      <c r="A129" s="3" t="str">
        <f>IFERROR(INDEX('Invite Builder'!$A:$A,ROW()-3),"")</f>
        <v/>
      </c>
      <c r="B129" s="3">
        <f>IFERROR(INDEX('Invite Builder'!$C:$C,ROW()-3),"")</f>
        <v>0</v>
      </c>
      <c r="C129" s="3">
        <f>IFERROR(INDEX('Invite Builder'!$D:$D,ROW()-3),"")</f>
        <v>0</v>
      </c>
      <c r="D129" s="3">
        <f>IFERROR(INDEX('Invite Builder'!$E:$E,ROW()-3),"")</f>
        <v>0</v>
      </c>
      <c r="E129" s="3">
        <f>IFERROR(INDEX('Invite Builder'!$B:$B,ROW()-3),"")</f>
        <v>0</v>
      </c>
      <c r="F129" s="3">
        <f>IFERROR(INDEX('Invite Builder'!$I:$I,ROW()-3),"")</f>
        <v>0</v>
      </c>
      <c r="G129" s="3">
        <f>IFERROR(INDEX('Invite Builder'!$G:$G,ROW()-3),"")</f>
        <v>0</v>
      </c>
      <c r="H129" s="3">
        <f>IFERROR(INDEX('Invite Builder'!$H:$H,ROW()-3),"")</f>
        <v>0</v>
      </c>
      <c r="I129" s="3">
        <f>IFERROR(INDEX('Invite Builder'!$T:$T,ROW()-3),"")</f>
        <v>0</v>
      </c>
    </row>
    <row r="130" spans="1:9">
      <c r="A130" s="3" t="str">
        <f>IFERROR(INDEX('Invite Builder'!$A:$A,ROW()-3),"")</f>
        <v/>
      </c>
      <c r="B130" s="3">
        <f>IFERROR(INDEX('Invite Builder'!$C:$C,ROW()-3),"")</f>
        <v>0</v>
      </c>
      <c r="C130" s="3">
        <f>IFERROR(INDEX('Invite Builder'!$D:$D,ROW()-3),"")</f>
        <v>0</v>
      </c>
      <c r="D130" s="3">
        <f>IFERROR(INDEX('Invite Builder'!$E:$E,ROW()-3),"")</f>
        <v>0</v>
      </c>
      <c r="E130" s="3">
        <f>IFERROR(INDEX('Invite Builder'!$B:$B,ROW()-3),"")</f>
        <v>0</v>
      </c>
      <c r="F130" s="3">
        <f>IFERROR(INDEX('Invite Builder'!$I:$I,ROW()-3),"")</f>
        <v>0</v>
      </c>
      <c r="G130" s="3">
        <f>IFERROR(INDEX('Invite Builder'!$G:$G,ROW()-3),"")</f>
        <v>0</v>
      </c>
      <c r="H130" s="3">
        <f>IFERROR(INDEX('Invite Builder'!$H:$H,ROW()-3),"")</f>
        <v>0</v>
      </c>
      <c r="I130" s="3">
        <f>IFERROR(INDEX('Invite Builder'!$T:$T,ROW()-3),"")</f>
        <v>0</v>
      </c>
    </row>
    <row r="131" spans="1:9">
      <c r="A131" s="3" t="str">
        <f>IFERROR(INDEX('Invite Builder'!$A:$A,ROW()-3),"")</f>
        <v/>
      </c>
      <c r="B131" s="3">
        <f>IFERROR(INDEX('Invite Builder'!$C:$C,ROW()-3),"")</f>
        <v>0</v>
      </c>
      <c r="C131" s="3">
        <f>IFERROR(INDEX('Invite Builder'!$D:$D,ROW()-3),"")</f>
        <v>0</v>
      </c>
      <c r="D131" s="3">
        <f>IFERROR(INDEX('Invite Builder'!$E:$E,ROW()-3),"")</f>
        <v>0</v>
      </c>
      <c r="E131" s="3">
        <f>IFERROR(INDEX('Invite Builder'!$B:$B,ROW()-3),"")</f>
        <v>0</v>
      </c>
      <c r="F131" s="3">
        <f>IFERROR(INDEX('Invite Builder'!$I:$I,ROW()-3),"")</f>
        <v>0</v>
      </c>
      <c r="G131" s="3">
        <f>IFERROR(INDEX('Invite Builder'!$G:$G,ROW()-3),"")</f>
        <v>0</v>
      </c>
      <c r="H131" s="3">
        <f>IFERROR(INDEX('Invite Builder'!$H:$H,ROW()-3),"")</f>
        <v>0</v>
      </c>
      <c r="I131" s="3">
        <f>IFERROR(INDEX('Invite Builder'!$T:$T,ROW()-3),"")</f>
        <v>0</v>
      </c>
    </row>
    <row r="132" spans="1:9">
      <c r="A132" s="3" t="str">
        <f>IFERROR(INDEX('Invite Builder'!$A:$A,ROW()-3),"")</f>
        <v/>
      </c>
      <c r="B132" s="3">
        <f>IFERROR(INDEX('Invite Builder'!$C:$C,ROW()-3),"")</f>
        <v>0</v>
      </c>
      <c r="C132" s="3">
        <f>IFERROR(INDEX('Invite Builder'!$D:$D,ROW()-3),"")</f>
        <v>0</v>
      </c>
      <c r="D132" s="3">
        <f>IFERROR(INDEX('Invite Builder'!$E:$E,ROW()-3),"")</f>
        <v>0</v>
      </c>
      <c r="E132" s="3">
        <f>IFERROR(INDEX('Invite Builder'!$B:$B,ROW()-3),"")</f>
        <v>0</v>
      </c>
      <c r="F132" s="3">
        <f>IFERROR(INDEX('Invite Builder'!$I:$I,ROW()-3),"")</f>
        <v>0</v>
      </c>
      <c r="G132" s="3">
        <f>IFERROR(INDEX('Invite Builder'!$G:$G,ROW()-3),"")</f>
        <v>0</v>
      </c>
      <c r="H132" s="3">
        <f>IFERROR(INDEX('Invite Builder'!$H:$H,ROW()-3),"")</f>
        <v>0</v>
      </c>
      <c r="I132" s="3">
        <f>IFERROR(INDEX('Invite Builder'!$T:$T,ROW()-3),"")</f>
        <v>0</v>
      </c>
    </row>
    <row r="133" spans="1:9">
      <c r="A133" s="3" t="str">
        <f>IFERROR(INDEX('Invite Builder'!$A:$A,ROW()-3),"")</f>
        <v/>
      </c>
      <c r="B133" s="3">
        <f>IFERROR(INDEX('Invite Builder'!$C:$C,ROW()-3),"")</f>
        <v>0</v>
      </c>
      <c r="C133" s="3">
        <f>IFERROR(INDEX('Invite Builder'!$D:$D,ROW()-3),"")</f>
        <v>0</v>
      </c>
      <c r="D133" s="3">
        <f>IFERROR(INDEX('Invite Builder'!$E:$E,ROW()-3),"")</f>
        <v>0</v>
      </c>
      <c r="E133" s="3">
        <f>IFERROR(INDEX('Invite Builder'!$B:$B,ROW()-3),"")</f>
        <v>0</v>
      </c>
      <c r="F133" s="3">
        <f>IFERROR(INDEX('Invite Builder'!$I:$I,ROW()-3),"")</f>
        <v>0</v>
      </c>
      <c r="G133" s="3">
        <f>IFERROR(INDEX('Invite Builder'!$G:$G,ROW()-3),"")</f>
        <v>0</v>
      </c>
      <c r="H133" s="3">
        <f>IFERROR(INDEX('Invite Builder'!$H:$H,ROW()-3),"")</f>
        <v>0</v>
      </c>
      <c r="I133" s="3">
        <f>IFERROR(INDEX('Invite Builder'!$T:$T,ROW()-3),"")</f>
        <v>0</v>
      </c>
    </row>
    <row r="134" spans="1:9">
      <c r="A134" s="3" t="str">
        <f>IFERROR(INDEX('Invite Builder'!$A:$A,ROW()-3),"")</f>
        <v/>
      </c>
      <c r="B134" s="3">
        <f>IFERROR(INDEX('Invite Builder'!$C:$C,ROW()-3),"")</f>
        <v>0</v>
      </c>
      <c r="C134" s="3">
        <f>IFERROR(INDEX('Invite Builder'!$D:$D,ROW()-3),"")</f>
        <v>0</v>
      </c>
      <c r="D134" s="3">
        <f>IFERROR(INDEX('Invite Builder'!$E:$E,ROW()-3),"")</f>
        <v>0</v>
      </c>
      <c r="E134" s="3">
        <f>IFERROR(INDEX('Invite Builder'!$B:$B,ROW()-3),"")</f>
        <v>0</v>
      </c>
      <c r="F134" s="3">
        <f>IFERROR(INDEX('Invite Builder'!$I:$I,ROW()-3),"")</f>
        <v>0</v>
      </c>
      <c r="G134" s="3">
        <f>IFERROR(INDEX('Invite Builder'!$G:$G,ROW()-3),"")</f>
        <v>0</v>
      </c>
      <c r="H134" s="3">
        <f>IFERROR(INDEX('Invite Builder'!$H:$H,ROW()-3),"")</f>
        <v>0</v>
      </c>
      <c r="I134" s="3">
        <f>IFERROR(INDEX('Invite Builder'!$T:$T,ROW()-3),"")</f>
        <v>0</v>
      </c>
    </row>
    <row r="135" spans="1:9">
      <c r="A135" s="3" t="str">
        <f>IFERROR(INDEX('Invite Builder'!$A:$A,ROW()-3),"")</f>
        <v/>
      </c>
      <c r="B135" s="3">
        <f>IFERROR(INDEX('Invite Builder'!$C:$C,ROW()-3),"")</f>
        <v>0</v>
      </c>
      <c r="C135" s="3">
        <f>IFERROR(INDEX('Invite Builder'!$D:$D,ROW()-3),"")</f>
        <v>0</v>
      </c>
      <c r="D135" s="3">
        <f>IFERROR(INDEX('Invite Builder'!$E:$E,ROW()-3),"")</f>
        <v>0</v>
      </c>
      <c r="E135" s="3">
        <f>IFERROR(INDEX('Invite Builder'!$B:$B,ROW()-3),"")</f>
        <v>0</v>
      </c>
      <c r="F135" s="3">
        <f>IFERROR(INDEX('Invite Builder'!$I:$I,ROW()-3),"")</f>
        <v>0</v>
      </c>
      <c r="G135" s="3">
        <f>IFERROR(INDEX('Invite Builder'!$G:$G,ROW()-3),"")</f>
        <v>0</v>
      </c>
      <c r="H135" s="3">
        <f>IFERROR(INDEX('Invite Builder'!$H:$H,ROW()-3),"")</f>
        <v>0</v>
      </c>
      <c r="I135" s="3">
        <f>IFERROR(INDEX('Invite Builder'!$T:$T,ROW()-3),"")</f>
        <v>0</v>
      </c>
    </row>
    <row r="136" spans="1:9">
      <c r="A136" s="3" t="str">
        <f>IFERROR(INDEX('Invite Builder'!$A:$A,ROW()-3),"")</f>
        <v/>
      </c>
      <c r="B136" s="3">
        <f>IFERROR(INDEX('Invite Builder'!$C:$C,ROW()-3),"")</f>
        <v>0</v>
      </c>
      <c r="C136" s="3">
        <f>IFERROR(INDEX('Invite Builder'!$D:$D,ROW()-3),"")</f>
        <v>0</v>
      </c>
      <c r="D136" s="3">
        <f>IFERROR(INDEX('Invite Builder'!$E:$E,ROW()-3),"")</f>
        <v>0</v>
      </c>
      <c r="E136" s="3">
        <f>IFERROR(INDEX('Invite Builder'!$B:$B,ROW()-3),"")</f>
        <v>0</v>
      </c>
      <c r="F136" s="3">
        <f>IFERROR(INDEX('Invite Builder'!$I:$I,ROW()-3),"")</f>
        <v>0</v>
      </c>
      <c r="G136" s="3">
        <f>IFERROR(INDEX('Invite Builder'!$G:$G,ROW()-3),"")</f>
        <v>0</v>
      </c>
      <c r="H136" s="3">
        <f>IFERROR(INDEX('Invite Builder'!$H:$H,ROW()-3),"")</f>
        <v>0</v>
      </c>
      <c r="I136" s="3">
        <f>IFERROR(INDEX('Invite Builder'!$T:$T,ROW()-3),"")</f>
        <v>0</v>
      </c>
    </row>
    <row r="137" spans="1:9">
      <c r="A137" s="3" t="str">
        <f>IFERROR(INDEX('Invite Builder'!$A:$A,ROW()-3),"")</f>
        <v/>
      </c>
      <c r="B137" s="3">
        <f>IFERROR(INDEX('Invite Builder'!$C:$C,ROW()-3),"")</f>
        <v>0</v>
      </c>
      <c r="C137" s="3">
        <f>IFERROR(INDEX('Invite Builder'!$D:$D,ROW()-3),"")</f>
        <v>0</v>
      </c>
      <c r="D137" s="3">
        <f>IFERROR(INDEX('Invite Builder'!$E:$E,ROW()-3),"")</f>
        <v>0</v>
      </c>
      <c r="E137" s="3">
        <f>IFERROR(INDEX('Invite Builder'!$B:$B,ROW()-3),"")</f>
        <v>0</v>
      </c>
      <c r="F137" s="3">
        <f>IFERROR(INDEX('Invite Builder'!$I:$I,ROW()-3),"")</f>
        <v>0</v>
      </c>
      <c r="G137" s="3">
        <f>IFERROR(INDEX('Invite Builder'!$G:$G,ROW()-3),"")</f>
        <v>0</v>
      </c>
      <c r="H137" s="3">
        <f>IFERROR(INDEX('Invite Builder'!$H:$H,ROW()-3),"")</f>
        <v>0</v>
      </c>
      <c r="I137" s="3">
        <f>IFERROR(INDEX('Invite Builder'!$T:$T,ROW()-3),"")</f>
        <v>0</v>
      </c>
    </row>
    <row r="138" spans="1:9">
      <c r="A138" s="3" t="str">
        <f>IFERROR(INDEX('Invite Builder'!$A:$A,ROW()-3),"")</f>
        <v/>
      </c>
      <c r="B138" s="3">
        <f>IFERROR(INDEX('Invite Builder'!$C:$C,ROW()-3),"")</f>
        <v>0</v>
      </c>
      <c r="C138" s="3">
        <f>IFERROR(INDEX('Invite Builder'!$D:$D,ROW()-3),"")</f>
        <v>0</v>
      </c>
      <c r="D138" s="3">
        <f>IFERROR(INDEX('Invite Builder'!$E:$E,ROW()-3),"")</f>
        <v>0</v>
      </c>
      <c r="E138" s="3">
        <f>IFERROR(INDEX('Invite Builder'!$B:$B,ROW()-3),"")</f>
        <v>0</v>
      </c>
      <c r="F138" s="3">
        <f>IFERROR(INDEX('Invite Builder'!$I:$I,ROW()-3),"")</f>
        <v>0</v>
      </c>
      <c r="G138" s="3">
        <f>IFERROR(INDEX('Invite Builder'!$G:$G,ROW()-3),"")</f>
        <v>0</v>
      </c>
      <c r="H138" s="3">
        <f>IFERROR(INDEX('Invite Builder'!$H:$H,ROW()-3),"")</f>
        <v>0</v>
      </c>
      <c r="I138" s="3">
        <f>IFERROR(INDEX('Invite Builder'!$T:$T,ROW()-3),"")</f>
        <v>0</v>
      </c>
    </row>
    <row r="139" spans="1:9">
      <c r="A139" s="3" t="str">
        <f>IFERROR(INDEX('Invite Builder'!$A:$A,ROW()-3),"")</f>
        <v/>
      </c>
      <c r="B139" s="3">
        <f>IFERROR(INDEX('Invite Builder'!$C:$C,ROW()-3),"")</f>
        <v>0</v>
      </c>
      <c r="C139" s="3">
        <f>IFERROR(INDEX('Invite Builder'!$D:$D,ROW()-3),"")</f>
        <v>0</v>
      </c>
      <c r="D139" s="3">
        <f>IFERROR(INDEX('Invite Builder'!$E:$E,ROW()-3),"")</f>
        <v>0</v>
      </c>
      <c r="E139" s="3">
        <f>IFERROR(INDEX('Invite Builder'!$B:$B,ROW()-3),"")</f>
        <v>0</v>
      </c>
      <c r="F139" s="3">
        <f>IFERROR(INDEX('Invite Builder'!$I:$I,ROW()-3),"")</f>
        <v>0</v>
      </c>
      <c r="G139" s="3">
        <f>IFERROR(INDEX('Invite Builder'!$G:$G,ROW()-3),"")</f>
        <v>0</v>
      </c>
      <c r="H139" s="3">
        <f>IFERROR(INDEX('Invite Builder'!$H:$H,ROW()-3),"")</f>
        <v>0</v>
      </c>
      <c r="I139" s="3">
        <f>IFERROR(INDEX('Invite Builder'!$T:$T,ROW()-3),"")</f>
        <v>0</v>
      </c>
    </row>
    <row r="140" spans="1:9">
      <c r="A140" s="3" t="str">
        <f>IFERROR(INDEX('Invite Builder'!$A:$A,ROW()-3),"")</f>
        <v/>
      </c>
      <c r="B140" s="3">
        <f>IFERROR(INDEX('Invite Builder'!$C:$C,ROW()-3),"")</f>
        <v>0</v>
      </c>
      <c r="C140" s="3">
        <f>IFERROR(INDEX('Invite Builder'!$D:$D,ROW()-3),"")</f>
        <v>0</v>
      </c>
      <c r="D140" s="3">
        <f>IFERROR(INDEX('Invite Builder'!$E:$E,ROW()-3),"")</f>
        <v>0</v>
      </c>
      <c r="E140" s="3">
        <f>IFERROR(INDEX('Invite Builder'!$B:$B,ROW()-3),"")</f>
        <v>0</v>
      </c>
      <c r="F140" s="3">
        <f>IFERROR(INDEX('Invite Builder'!$I:$I,ROW()-3),"")</f>
        <v>0</v>
      </c>
      <c r="G140" s="3">
        <f>IFERROR(INDEX('Invite Builder'!$G:$G,ROW()-3),"")</f>
        <v>0</v>
      </c>
      <c r="H140" s="3">
        <f>IFERROR(INDEX('Invite Builder'!$H:$H,ROW()-3),"")</f>
        <v>0</v>
      </c>
      <c r="I140" s="3">
        <f>IFERROR(INDEX('Invite Builder'!$T:$T,ROW()-3),"")</f>
        <v>0</v>
      </c>
    </row>
    <row r="141" spans="1:9">
      <c r="A141" s="3" t="str">
        <f>IFERROR(INDEX('Invite Builder'!$A:$A,ROW()-3),"")</f>
        <v/>
      </c>
      <c r="B141" s="3">
        <f>IFERROR(INDEX('Invite Builder'!$C:$C,ROW()-3),"")</f>
        <v>0</v>
      </c>
      <c r="C141" s="3">
        <f>IFERROR(INDEX('Invite Builder'!$D:$D,ROW()-3),"")</f>
        <v>0</v>
      </c>
      <c r="D141" s="3">
        <f>IFERROR(INDEX('Invite Builder'!$E:$E,ROW()-3),"")</f>
        <v>0</v>
      </c>
      <c r="E141" s="3">
        <f>IFERROR(INDEX('Invite Builder'!$B:$B,ROW()-3),"")</f>
        <v>0</v>
      </c>
      <c r="F141" s="3">
        <f>IFERROR(INDEX('Invite Builder'!$I:$I,ROW()-3),"")</f>
        <v>0</v>
      </c>
      <c r="G141" s="3">
        <f>IFERROR(INDEX('Invite Builder'!$G:$G,ROW()-3),"")</f>
        <v>0</v>
      </c>
      <c r="H141" s="3">
        <f>IFERROR(INDEX('Invite Builder'!$H:$H,ROW()-3),"")</f>
        <v>0</v>
      </c>
      <c r="I141" s="3">
        <f>IFERROR(INDEX('Invite Builder'!$T:$T,ROW()-3),"")</f>
        <v>0</v>
      </c>
    </row>
    <row r="142" spans="1:9">
      <c r="A142" s="3" t="str">
        <f>IFERROR(INDEX('Invite Builder'!$A:$A,ROW()-3),"")</f>
        <v/>
      </c>
      <c r="B142" s="3">
        <f>IFERROR(INDEX('Invite Builder'!$C:$C,ROW()-3),"")</f>
        <v>0</v>
      </c>
      <c r="C142" s="3">
        <f>IFERROR(INDEX('Invite Builder'!$D:$D,ROW()-3),"")</f>
        <v>0</v>
      </c>
      <c r="D142" s="3">
        <f>IFERROR(INDEX('Invite Builder'!$E:$E,ROW()-3),"")</f>
        <v>0</v>
      </c>
      <c r="E142" s="3">
        <f>IFERROR(INDEX('Invite Builder'!$B:$B,ROW()-3),"")</f>
        <v>0</v>
      </c>
      <c r="F142" s="3">
        <f>IFERROR(INDEX('Invite Builder'!$I:$I,ROW()-3),"")</f>
        <v>0</v>
      </c>
      <c r="G142" s="3">
        <f>IFERROR(INDEX('Invite Builder'!$G:$G,ROW()-3),"")</f>
        <v>0</v>
      </c>
      <c r="H142" s="3">
        <f>IFERROR(INDEX('Invite Builder'!$H:$H,ROW()-3),"")</f>
        <v>0</v>
      </c>
      <c r="I142" s="3">
        <f>IFERROR(INDEX('Invite Builder'!$T:$T,ROW()-3),"")</f>
        <v>0</v>
      </c>
    </row>
    <row r="143" spans="1:9">
      <c r="A143" s="3" t="str">
        <f>IFERROR(INDEX('Invite Builder'!$A:$A,ROW()-3),"")</f>
        <v/>
      </c>
      <c r="B143" s="3">
        <f>IFERROR(INDEX('Invite Builder'!$C:$C,ROW()-3),"")</f>
        <v>0</v>
      </c>
      <c r="C143" s="3">
        <f>IFERROR(INDEX('Invite Builder'!$D:$D,ROW()-3),"")</f>
        <v>0</v>
      </c>
      <c r="D143" s="3">
        <f>IFERROR(INDEX('Invite Builder'!$E:$E,ROW()-3),"")</f>
        <v>0</v>
      </c>
      <c r="E143" s="3">
        <f>IFERROR(INDEX('Invite Builder'!$B:$B,ROW()-3),"")</f>
        <v>0</v>
      </c>
      <c r="F143" s="3">
        <f>IFERROR(INDEX('Invite Builder'!$I:$I,ROW()-3),"")</f>
        <v>0</v>
      </c>
      <c r="G143" s="3">
        <f>IFERROR(INDEX('Invite Builder'!$G:$G,ROW()-3),"")</f>
        <v>0</v>
      </c>
      <c r="H143" s="3">
        <f>IFERROR(INDEX('Invite Builder'!$H:$H,ROW()-3),"")</f>
        <v>0</v>
      </c>
      <c r="I143" s="3">
        <f>IFERROR(INDEX('Invite Builder'!$T:$T,ROW()-3),"")</f>
        <v>0</v>
      </c>
    </row>
    <row r="144" spans="1:9">
      <c r="A144" s="3" t="str">
        <f>IFERROR(INDEX('Invite Builder'!$A:$A,ROW()-3),"")</f>
        <v/>
      </c>
      <c r="B144" s="3">
        <f>IFERROR(INDEX('Invite Builder'!$C:$C,ROW()-3),"")</f>
        <v>0</v>
      </c>
      <c r="C144" s="3">
        <f>IFERROR(INDEX('Invite Builder'!$D:$D,ROW()-3),"")</f>
        <v>0</v>
      </c>
      <c r="D144" s="3">
        <f>IFERROR(INDEX('Invite Builder'!$E:$E,ROW()-3),"")</f>
        <v>0</v>
      </c>
      <c r="E144" s="3">
        <f>IFERROR(INDEX('Invite Builder'!$B:$B,ROW()-3),"")</f>
        <v>0</v>
      </c>
      <c r="F144" s="3">
        <f>IFERROR(INDEX('Invite Builder'!$I:$I,ROW()-3),"")</f>
        <v>0</v>
      </c>
      <c r="G144" s="3">
        <f>IFERROR(INDEX('Invite Builder'!$G:$G,ROW()-3),"")</f>
        <v>0</v>
      </c>
      <c r="H144" s="3">
        <f>IFERROR(INDEX('Invite Builder'!$H:$H,ROW()-3),"")</f>
        <v>0</v>
      </c>
      <c r="I144" s="3">
        <f>IFERROR(INDEX('Invite Builder'!$T:$T,ROW()-3),"")</f>
        <v>0</v>
      </c>
    </row>
    <row r="145" spans="1:9">
      <c r="A145" s="3" t="str">
        <f>IFERROR(INDEX('Invite Builder'!$A:$A,ROW()-3),"")</f>
        <v/>
      </c>
      <c r="B145" s="3">
        <f>IFERROR(INDEX('Invite Builder'!$C:$C,ROW()-3),"")</f>
        <v>0</v>
      </c>
      <c r="C145" s="3">
        <f>IFERROR(INDEX('Invite Builder'!$D:$D,ROW()-3),"")</f>
        <v>0</v>
      </c>
      <c r="D145" s="3">
        <f>IFERROR(INDEX('Invite Builder'!$E:$E,ROW()-3),"")</f>
        <v>0</v>
      </c>
      <c r="E145" s="3">
        <f>IFERROR(INDEX('Invite Builder'!$B:$B,ROW()-3),"")</f>
        <v>0</v>
      </c>
      <c r="F145" s="3">
        <f>IFERROR(INDEX('Invite Builder'!$I:$I,ROW()-3),"")</f>
        <v>0</v>
      </c>
      <c r="G145" s="3">
        <f>IFERROR(INDEX('Invite Builder'!$G:$G,ROW()-3),"")</f>
        <v>0</v>
      </c>
      <c r="H145" s="3">
        <f>IFERROR(INDEX('Invite Builder'!$H:$H,ROW()-3),"")</f>
        <v>0</v>
      </c>
      <c r="I145" s="3">
        <f>IFERROR(INDEX('Invite Builder'!$T:$T,ROW()-3),"")</f>
        <v>0</v>
      </c>
    </row>
    <row r="146" spans="1:9">
      <c r="A146" s="3" t="str">
        <f>IFERROR(INDEX('Invite Builder'!$A:$A,ROW()-3),"")</f>
        <v/>
      </c>
      <c r="B146" s="3">
        <f>IFERROR(INDEX('Invite Builder'!$C:$C,ROW()-3),"")</f>
        <v>0</v>
      </c>
      <c r="C146" s="3">
        <f>IFERROR(INDEX('Invite Builder'!$D:$D,ROW()-3),"")</f>
        <v>0</v>
      </c>
      <c r="D146" s="3">
        <f>IFERROR(INDEX('Invite Builder'!$E:$E,ROW()-3),"")</f>
        <v>0</v>
      </c>
      <c r="E146" s="3">
        <f>IFERROR(INDEX('Invite Builder'!$B:$B,ROW()-3),"")</f>
        <v>0</v>
      </c>
      <c r="F146" s="3">
        <f>IFERROR(INDEX('Invite Builder'!$I:$I,ROW()-3),"")</f>
        <v>0</v>
      </c>
      <c r="G146" s="3">
        <f>IFERROR(INDEX('Invite Builder'!$G:$G,ROW()-3),"")</f>
        <v>0</v>
      </c>
      <c r="H146" s="3">
        <f>IFERROR(INDEX('Invite Builder'!$H:$H,ROW()-3),"")</f>
        <v>0</v>
      </c>
      <c r="I146" s="3">
        <f>IFERROR(INDEX('Invite Builder'!$T:$T,ROW()-3),"")</f>
        <v>0</v>
      </c>
    </row>
    <row r="147" spans="1:9">
      <c r="A147" s="3" t="str">
        <f>IFERROR(INDEX('Invite Builder'!$A:$A,ROW()-3),"")</f>
        <v/>
      </c>
      <c r="B147" s="3">
        <f>IFERROR(INDEX('Invite Builder'!$C:$C,ROW()-3),"")</f>
        <v>0</v>
      </c>
      <c r="C147" s="3">
        <f>IFERROR(INDEX('Invite Builder'!$D:$D,ROW()-3),"")</f>
        <v>0</v>
      </c>
      <c r="D147" s="3">
        <f>IFERROR(INDEX('Invite Builder'!$E:$E,ROW()-3),"")</f>
        <v>0</v>
      </c>
      <c r="E147" s="3">
        <f>IFERROR(INDEX('Invite Builder'!$B:$B,ROW()-3),"")</f>
        <v>0</v>
      </c>
      <c r="F147" s="3">
        <f>IFERROR(INDEX('Invite Builder'!$I:$I,ROW()-3),"")</f>
        <v>0</v>
      </c>
      <c r="G147" s="3">
        <f>IFERROR(INDEX('Invite Builder'!$G:$G,ROW()-3),"")</f>
        <v>0</v>
      </c>
      <c r="H147" s="3">
        <f>IFERROR(INDEX('Invite Builder'!$H:$H,ROW()-3),"")</f>
        <v>0</v>
      </c>
      <c r="I147" s="3">
        <f>IFERROR(INDEX('Invite Builder'!$T:$T,ROW()-3),"")</f>
        <v>0</v>
      </c>
    </row>
    <row r="148" spans="1:9">
      <c r="A148" s="3" t="str">
        <f>IFERROR(INDEX('Invite Builder'!$A:$A,ROW()-3),"")</f>
        <v/>
      </c>
      <c r="B148" s="3">
        <f>IFERROR(INDEX('Invite Builder'!$C:$C,ROW()-3),"")</f>
        <v>0</v>
      </c>
      <c r="C148" s="3">
        <f>IFERROR(INDEX('Invite Builder'!$D:$D,ROW()-3),"")</f>
        <v>0</v>
      </c>
      <c r="D148" s="3">
        <f>IFERROR(INDEX('Invite Builder'!$E:$E,ROW()-3),"")</f>
        <v>0</v>
      </c>
      <c r="E148" s="3">
        <f>IFERROR(INDEX('Invite Builder'!$B:$B,ROW()-3),"")</f>
        <v>0</v>
      </c>
      <c r="F148" s="3">
        <f>IFERROR(INDEX('Invite Builder'!$I:$I,ROW()-3),"")</f>
        <v>0</v>
      </c>
      <c r="G148" s="3">
        <f>IFERROR(INDEX('Invite Builder'!$G:$G,ROW()-3),"")</f>
        <v>0</v>
      </c>
      <c r="H148" s="3">
        <f>IFERROR(INDEX('Invite Builder'!$H:$H,ROW()-3),"")</f>
        <v>0</v>
      </c>
      <c r="I148" s="3">
        <f>IFERROR(INDEX('Invite Builder'!$T:$T,ROW()-3),"")</f>
        <v>0</v>
      </c>
    </row>
    <row r="149" spans="1:9">
      <c r="A149" s="3" t="str">
        <f>IFERROR(INDEX('Invite Builder'!$A:$A,ROW()-3),"")</f>
        <v/>
      </c>
      <c r="B149" s="3">
        <f>IFERROR(INDEX('Invite Builder'!$C:$C,ROW()-3),"")</f>
        <v>0</v>
      </c>
      <c r="C149" s="3">
        <f>IFERROR(INDEX('Invite Builder'!$D:$D,ROW()-3),"")</f>
        <v>0</v>
      </c>
      <c r="D149" s="3">
        <f>IFERROR(INDEX('Invite Builder'!$E:$E,ROW()-3),"")</f>
        <v>0</v>
      </c>
      <c r="E149" s="3">
        <f>IFERROR(INDEX('Invite Builder'!$B:$B,ROW()-3),"")</f>
        <v>0</v>
      </c>
      <c r="F149" s="3">
        <f>IFERROR(INDEX('Invite Builder'!$I:$I,ROW()-3),"")</f>
        <v>0</v>
      </c>
      <c r="G149" s="3">
        <f>IFERROR(INDEX('Invite Builder'!$G:$G,ROW()-3),"")</f>
        <v>0</v>
      </c>
      <c r="H149" s="3">
        <f>IFERROR(INDEX('Invite Builder'!$H:$H,ROW()-3),"")</f>
        <v>0</v>
      </c>
      <c r="I149" s="3">
        <f>IFERROR(INDEX('Invite Builder'!$T:$T,ROW()-3),"")</f>
        <v>0</v>
      </c>
    </row>
    <row r="150" spans="1:9">
      <c r="A150" s="3" t="str">
        <f>IFERROR(INDEX('Invite Builder'!$A:$A,ROW()-3),"")</f>
        <v/>
      </c>
      <c r="B150" s="3">
        <f>IFERROR(INDEX('Invite Builder'!$C:$C,ROW()-3),"")</f>
        <v>0</v>
      </c>
      <c r="C150" s="3">
        <f>IFERROR(INDEX('Invite Builder'!$D:$D,ROW()-3),"")</f>
        <v>0</v>
      </c>
      <c r="D150" s="3">
        <f>IFERROR(INDEX('Invite Builder'!$E:$E,ROW()-3),"")</f>
        <v>0</v>
      </c>
      <c r="E150" s="3">
        <f>IFERROR(INDEX('Invite Builder'!$B:$B,ROW()-3),"")</f>
        <v>0</v>
      </c>
      <c r="F150" s="3">
        <f>IFERROR(INDEX('Invite Builder'!$I:$I,ROW()-3),"")</f>
        <v>0</v>
      </c>
      <c r="G150" s="3">
        <f>IFERROR(INDEX('Invite Builder'!$G:$G,ROW()-3),"")</f>
        <v>0</v>
      </c>
      <c r="H150" s="3">
        <f>IFERROR(INDEX('Invite Builder'!$H:$H,ROW()-3),"")</f>
        <v>0</v>
      </c>
      <c r="I150" s="3">
        <f>IFERROR(INDEX('Invite Builder'!$T:$T,ROW()-3),"")</f>
        <v>0</v>
      </c>
    </row>
    <row r="151" spans="1:9">
      <c r="A151" s="3" t="str">
        <f>IFERROR(INDEX('Invite Builder'!$A:$A,ROW()-3),"")</f>
        <v/>
      </c>
      <c r="B151" s="3">
        <f>IFERROR(INDEX('Invite Builder'!$C:$C,ROW()-3),"")</f>
        <v>0</v>
      </c>
      <c r="C151" s="3">
        <f>IFERROR(INDEX('Invite Builder'!$D:$D,ROW()-3),"")</f>
        <v>0</v>
      </c>
      <c r="D151" s="3">
        <f>IFERROR(INDEX('Invite Builder'!$E:$E,ROW()-3),"")</f>
        <v>0</v>
      </c>
      <c r="E151" s="3">
        <f>IFERROR(INDEX('Invite Builder'!$B:$B,ROW()-3),"")</f>
        <v>0</v>
      </c>
      <c r="F151" s="3">
        <f>IFERROR(INDEX('Invite Builder'!$I:$I,ROW()-3),"")</f>
        <v>0</v>
      </c>
      <c r="G151" s="3">
        <f>IFERROR(INDEX('Invite Builder'!$G:$G,ROW()-3),"")</f>
        <v>0</v>
      </c>
      <c r="H151" s="3">
        <f>IFERROR(INDEX('Invite Builder'!$H:$H,ROW()-3),"")</f>
        <v>0</v>
      </c>
      <c r="I151" s="3">
        <f>IFERROR(INDEX('Invite Builder'!$T:$T,ROW()-3),"")</f>
        <v>0</v>
      </c>
    </row>
    <row r="152" spans="1:9">
      <c r="A152" s="3" t="str">
        <f>IFERROR(INDEX('Invite Builder'!$A:$A,ROW()-3),"")</f>
        <v/>
      </c>
      <c r="B152" s="3">
        <f>IFERROR(INDEX('Invite Builder'!$C:$C,ROW()-3),"")</f>
        <v>0</v>
      </c>
      <c r="C152" s="3">
        <f>IFERROR(INDEX('Invite Builder'!$D:$D,ROW()-3),"")</f>
        <v>0</v>
      </c>
      <c r="D152" s="3">
        <f>IFERROR(INDEX('Invite Builder'!$E:$E,ROW()-3),"")</f>
        <v>0</v>
      </c>
      <c r="E152" s="3">
        <f>IFERROR(INDEX('Invite Builder'!$B:$B,ROW()-3),"")</f>
        <v>0</v>
      </c>
      <c r="F152" s="3">
        <f>IFERROR(INDEX('Invite Builder'!$I:$I,ROW()-3),"")</f>
        <v>0</v>
      </c>
      <c r="G152" s="3">
        <f>IFERROR(INDEX('Invite Builder'!$G:$G,ROW()-3),"")</f>
        <v>0</v>
      </c>
      <c r="H152" s="3">
        <f>IFERROR(INDEX('Invite Builder'!$H:$H,ROW()-3),"")</f>
        <v>0</v>
      </c>
      <c r="I152" s="3">
        <f>IFERROR(INDEX('Invite Builder'!$T:$T,ROW()-3),"")</f>
        <v>0</v>
      </c>
    </row>
    <row r="153" spans="1:9">
      <c r="A153" s="3" t="str">
        <f>IFERROR(INDEX('Invite Builder'!$A:$A,ROW()-3),"")</f>
        <v/>
      </c>
      <c r="B153" s="3">
        <f>IFERROR(INDEX('Invite Builder'!$C:$C,ROW()-3),"")</f>
        <v>0</v>
      </c>
      <c r="C153" s="3">
        <f>IFERROR(INDEX('Invite Builder'!$D:$D,ROW()-3),"")</f>
        <v>0</v>
      </c>
      <c r="D153" s="3">
        <f>IFERROR(INDEX('Invite Builder'!$E:$E,ROW()-3),"")</f>
        <v>0</v>
      </c>
      <c r="E153" s="3">
        <f>IFERROR(INDEX('Invite Builder'!$B:$B,ROW()-3),"")</f>
        <v>0</v>
      </c>
      <c r="F153" s="3">
        <f>IFERROR(INDEX('Invite Builder'!$I:$I,ROW()-3),"")</f>
        <v>0</v>
      </c>
      <c r="G153" s="3">
        <f>IFERROR(INDEX('Invite Builder'!$G:$G,ROW()-3),"")</f>
        <v>0</v>
      </c>
      <c r="H153" s="3">
        <f>IFERROR(INDEX('Invite Builder'!$H:$H,ROW()-3),"")</f>
        <v>0</v>
      </c>
      <c r="I153" s="3">
        <f>IFERROR(INDEX('Invite Builder'!$T:$T,ROW()-3),"")</f>
        <v>0</v>
      </c>
    </row>
    <row r="154" spans="1:9">
      <c r="A154" s="3">
        <f>IFERROR(INDEX('Invite Builder'!$A:$A,ROW()-3),"")</f>
        <v>0</v>
      </c>
      <c r="B154" s="3">
        <f>IFERROR(INDEX('Invite Builder'!$C:$C,ROW()-3),"")</f>
        <v>0</v>
      </c>
      <c r="C154" s="3">
        <f>IFERROR(INDEX('Invite Builder'!$D:$D,ROW()-3),"")</f>
        <v>0</v>
      </c>
      <c r="D154" s="3">
        <f>IFERROR(INDEX('Invite Builder'!$E:$E,ROW()-3),"")</f>
        <v>0</v>
      </c>
      <c r="E154" s="3">
        <f>IFERROR(INDEX('Invite Builder'!$B:$B,ROW()-3),"")</f>
        <v>0</v>
      </c>
      <c r="F154" s="3">
        <f>IFERROR(INDEX('Invite Builder'!$I:$I,ROW()-3),"")</f>
        <v>0</v>
      </c>
      <c r="G154" s="3">
        <f>IFERROR(INDEX('Invite Builder'!$G:$G,ROW()-3),"")</f>
        <v>0</v>
      </c>
      <c r="H154" s="3">
        <f>IFERROR(INDEX('Invite Builder'!$H:$H,ROW()-3),"")</f>
        <v>0</v>
      </c>
      <c r="I154" s="3">
        <f>IFERROR(INDEX('Invite Builder'!$T:$T,ROW()-3),"")</f>
        <v>0</v>
      </c>
    </row>
    <row r="155" spans="1:9">
      <c r="A155" s="3">
        <f>IFERROR(INDEX('Invite Builder'!$A:$A,ROW()-3),"")</f>
        <v>0</v>
      </c>
      <c r="B155" s="3">
        <f>IFERROR(INDEX('Invite Builder'!$C:$C,ROW()-3),"")</f>
        <v>0</v>
      </c>
      <c r="C155" s="3">
        <f>IFERROR(INDEX('Invite Builder'!$D:$D,ROW()-3),"")</f>
        <v>0</v>
      </c>
      <c r="D155" s="3">
        <f>IFERROR(INDEX('Invite Builder'!$E:$E,ROW()-3),"")</f>
        <v>0</v>
      </c>
      <c r="E155" s="3">
        <f>IFERROR(INDEX('Invite Builder'!$B:$B,ROW()-3),"")</f>
        <v>0</v>
      </c>
      <c r="F155" s="3">
        <f>IFERROR(INDEX('Invite Builder'!$I:$I,ROW()-3),"")</f>
        <v>0</v>
      </c>
      <c r="G155" s="3">
        <f>IFERROR(INDEX('Invite Builder'!$G:$G,ROW()-3),"")</f>
        <v>0</v>
      </c>
      <c r="H155" s="3">
        <f>IFERROR(INDEX('Invite Builder'!$H:$H,ROW()-3),"")</f>
        <v>0</v>
      </c>
      <c r="I155" s="3">
        <f>IFERROR(INDEX('Invite Builder'!$T:$T,ROW()-3),"")</f>
        <v>0</v>
      </c>
    </row>
    <row r="156" spans="1:9">
      <c r="A156" s="3">
        <f>IFERROR(INDEX('Invite Builder'!$A:$A,ROW()-3),"")</f>
        <v>0</v>
      </c>
      <c r="B156" s="3">
        <f>IFERROR(INDEX('Invite Builder'!$C:$C,ROW()-3),"")</f>
        <v>0</v>
      </c>
      <c r="C156" s="3">
        <f>IFERROR(INDEX('Invite Builder'!$D:$D,ROW()-3),"")</f>
        <v>0</v>
      </c>
      <c r="D156" s="3">
        <f>IFERROR(INDEX('Invite Builder'!$E:$E,ROW()-3),"")</f>
        <v>0</v>
      </c>
      <c r="E156" s="3">
        <f>IFERROR(INDEX('Invite Builder'!$B:$B,ROW()-3),"")</f>
        <v>0</v>
      </c>
      <c r="F156" s="3">
        <f>IFERROR(INDEX('Invite Builder'!$I:$I,ROW()-3),"")</f>
        <v>0</v>
      </c>
      <c r="G156" s="3">
        <f>IFERROR(INDEX('Invite Builder'!$G:$G,ROW()-3),"")</f>
        <v>0</v>
      </c>
      <c r="H156" s="3">
        <f>IFERROR(INDEX('Invite Builder'!$H:$H,ROW()-3),"")</f>
        <v>0</v>
      </c>
      <c r="I156" s="3">
        <f>IFERROR(INDEX('Invite Builder'!$T:$T,ROW()-3),"")</f>
        <v>0</v>
      </c>
    </row>
    <row r="157" spans="1:9">
      <c r="A157" s="3">
        <f>IFERROR(INDEX('Invite Builder'!$A:$A,ROW()-3),"")</f>
        <v>0</v>
      </c>
      <c r="B157" s="3">
        <f>IFERROR(INDEX('Invite Builder'!$C:$C,ROW()-3),"")</f>
        <v>0</v>
      </c>
      <c r="C157" s="3">
        <f>IFERROR(INDEX('Invite Builder'!$D:$D,ROW()-3),"")</f>
        <v>0</v>
      </c>
      <c r="D157" s="3">
        <f>IFERROR(INDEX('Invite Builder'!$E:$E,ROW()-3),"")</f>
        <v>0</v>
      </c>
      <c r="E157" s="3">
        <f>IFERROR(INDEX('Invite Builder'!$B:$B,ROW()-3),"")</f>
        <v>0</v>
      </c>
      <c r="F157" s="3">
        <f>IFERROR(INDEX('Invite Builder'!$I:$I,ROW()-3),"")</f>
        <v>0</v>
      </c>
      <c r="G157" s="3">
        <f>IFERROR(INDEX('Invite Builder'!$G:$G,ROW()-3),"")</f>
        <v>0</v>
      </c>
      <c r="H157" s="3">
        <f>IFERROR(INDEX('Invite Builder'!$H:$H,ROW()-3),"")</f>
        <v>0</v>
      </c>
      <c r="I157" s="3">
        <f>IFERROR(INDEX('Invite Builder'!$T:$T,ROW()-3),"")</f>
        <v>0</v>
      </c>
    </row>
    <row r="158" spans="1:9">
      <c r="A158" s="3">
        <f>IFERROR(INDEX('Invite Builder'!$A:$A,ROW()-3),"")</f>
        <v>0</v>
      </c>
      <c r="B158" s="3">
        <f>IFERROR(INDEX('Invite Builder'!$C:$C,ROW()-3),"")</f>
        <v>0</v>
      </c>
      <c r="C158" s="3">
        <f>IFERROR(INDEX('Invite Builder'!$D:$D,ROW()-3),"")</f>
        <v>0</v>
      </c>
      <c r="D158" s="3">
        <f>IFERROR(INDEX('Invite Builder'!$E:$E,ROW()-3),"")</f>
        <v>0</v>
      </c>
      <c r="E158" s="3">
        <f>IFERROR(INDEX('Invite Builder'!$B:$B,ROW()-3),"")</f>
        <v>0</v>
      </c>
      <c r="F158" s="3">
        <f>IFERROR(INDEX('Invite Builder'!$I:$I,ROW()-3),"")</f>
        <v>0</v>
      </c>
      <c r="G158" s="3">
        <f>IFERROR(INDEX('Invite Builder'!$G:$G,ROW()-3),"")</f>
        <v>0</v>
      </c>
      <c r="H158" s="3">
        <f>IFERROR(INDEX('Invite Builder'!$H:$H,ROW()-3),"")</f>
        <v>0</v>
      </c>
      <c r="I158" s="3">
        <f>IFERROR(INDEX('Invite Builder'!$T:$T,ROW()-3),"")</f>
        <v>0</v>
      </c>
    </row>
    <row r="159" spans="1:9">
      <c r="A159" s="3">
        <f>IFERROR(INDEX('Invite Builder'!$A:$A,ROW()-3),"")</f>
        <v>0</v>
      </c>
      <c r="B159" s="3">
        <f>IFERROR(INDEX('Invite Builder'!$C:$C,ROW()-3),"")</f>
        <v>0</v>
      </c>
      <c r="C159" s="3">
        <f>IFERROR(INDEX('Invite Builder'!$D:$D,ROW()-3),"")</f>
        <v>0</v>
      </c>
      <c r="D159" s="3">
        <f>IFERROR(INDEX('Invite Builder'!$E:$E,ROW()-3),"")</f>
        <v>0</v>
      </c>
      <c r="E159" s="3">
        <f>IFERROR(INDEX('Invite Builder'!$B:$B,ROW()-3),"")</f>
        <v>0</v>
      </c>
      <c r="F159" s="3">
        <f>IFERROR(INDEX('Invite Builder'!$I:$I,ROW()-3),"")</f>
        <v>0</v>
      </c>
      <c r="G159" s="3">
        <f>IFERROR(INDEX('Invite Builder'!$G:$G,ROW()-3),"")</f>
        <v>0</v>
      </c>
      <c r="H159" s="3">
        <f>IFERROR(INDEX('Invite Builder'!$H:$H,ROW()-3),"")</f>
        <v>0</v>
      </c>
      <c r="I159" s="3">
        <f>IFERROR(INDEX('Invite Builder'!$T:$T,ROW()-3),"")</f>
        <v>0</v>
      </c>
    </row>
    <row r="160" spans="1:9">
      <c r="A160" s="3">
        <f>IFERROR(INDEX('Invite Builder'!$A:$A,ROW()-3),"")</f>
        <v>0</v>
      </c>
      <c r="B160" s="3">
        <f>IFERROR(INDEX('Invite Builder'!$C:$C,ROW()-3),"")</f>
        <v>0</v>
      </c>
      <c r="C160" s="3">
        <f>IFERROR(INDEX('Invite Builder'!$D:$D,ROW()-3),"")</f>
        <v>0</v>
      </c>
      <c r="D160" s="3">
        <f>IFERROR(INDEX('Invite Builder'!$E:$E,ROW()-3),"")</f>
        <v>0</v>
      </c>
      <c r="E160" s="3">
        <f>IFERROR(INDEX('Invite Builder'!$B:$B,ROW()-3),"")</f>
        <v>0</v>
      </c>
      <c r="F160" s="3">
        <f>IFERROR(INDEX('Invite Builder'!$I:$I,ROW()-3),"")</f>
        <v>0</v>
      </c>
      <c r="G160" s="3">
        <f>IFERROR(INDEX('Invite Builder'!$G:$G,ROW()-3),"")</f>
        <v>0</v>
      </c>
      <c r="H160" s="3">
        <f>IFERROR(INDEX('Invite Builder'!$H:$H,ROW()-3),"")</f>
        <v>0</v>
      </c>
      <c r="I160" s="3">
        <f>IFERROR(INDEX('Invite Builder'!$T:$T,ROW()-3),"")</f>
        <v>0</v>
      </c>
    </row>
    <row r="161" spans="1:9">
      <c r="A161" s="3">
        <f>IFERROR(INDEX('Invite Builder'!$A:$A,ROW()-3),"")</f>
        <v>0</v>
      </c>
      <c r="B161" s="3">
        <f>IFERROR(INDEX('Invite Builder'!$C:$C,ROW()-3),"")</f>
        <v>0</v>
      </c>
      <c r="C161" s="3">
        <f>IFERROR(INDEX('Invite Builder'!$D:$D,ROW()-3),"")</f>
        <v>0</v>
      </c>
      <c r="D161" s="3">
        <f>IFERROR(INDEX('Invite Builder'!$E:$E,ROW()-3),"")</f>
        <v>0</v>
      </c>
      <c r="E161" s="3">
        <f>IFERROR(INDEX('Invite Builder'!$B:$B,ROW()-3),"")</f>
        <v>0</v>
      </c>
      <c r="F161" s="3">
        <f>IFERROR(INDEX('Invite Builder'!$I:$I,ROW()-3),"")</f>
        <v>0</v>
      </c>
      <c r="G161" s="3">
        <f>IFERROR(INDEX('Invite Builder'!$G:$G,ROW()-3),"")</f>
        <v>0</v>
      </c>
      <c r="H161" s="3">
        <f>IFERROR(INDEX('Invite Builder'!$H:$H,ROW()-3),"")</f>
        <v>0</v>
      </c>
      <c r="I161" s="3">
        <f>IFERROR(INDEX('Invite Builder'!$T:$T,ROW()-3),"")</f>
        <v>0</v>
      </c>
    </row>
    <row r="162" spans="1:9">
      <c r="A162" s="3">
        <f>IFERROR(INDEX('Invite Builder'!$A:$A,ROW()-3),"")</f>
        <v>0</v>
      </c>
      <c r="B162" s="3">
        <f>IFERROR(INDEX('Invite Builder'!$C:$C,ROW()-3),"")</f>
        <v>0</v>
      </c>
      <c r="C162" s="3">
        <f>IFERROR(INDEX('Invite Builder'!$D:$D,ROW()-3),"")</f>
        <v>0</v>
      </c>
      <c r="D162" s="3">
        <f>IFERROR(INDEX('Invite Builder'!$E:$E,ROW()-3),"")</f>
        <v>0</v>
      </c>
      <c r="E162" s="3">
        <f>IFERROR(INDEX('Invite Builder'!$B:$B,ROW()-3),"")</f>
        <v>0</v>
      </c>
      <c r="F162" s="3">
        <f>IFERROR(INDEX('Invite Builder'!$I:$I,ROW()-3),"")</f>
        <v>0</v>
      </c>
      <c r="G162" s="3">
        <f>IFERROR(INDEX('Invite Builder'!$G:$G,ROW()-3),"")</f>
        <v>0</v>
      </c>
      <c r="H162" s="3">
        <f>IFERROR(INDEX('Invite Builder'!$H:$H,ROW()-3),"")</f>
        <v>0</v>
      </c>
      <c r="I162" s="3">
        <f>IFERROR(INDEX('Invite Builder'!$T:$T,ROW()-3),"")</f>
        <v>0</v>
      </c>
    </row>
    <row r="163" spans="1:9">
      <c r="A163" s="3">
        <f>IFERROR(INDEX('Invite Builder'!$A:$A,ROW()-3),"")</f>
        <v>0</v>
      </c>
      <c r="B163" s="3">
        <f>IFERROR(INDEX('Invite Builder'!$C:$C,ROW()-3),"")</f>
        <v>0</v>
      </c>
      <c r="C163" s="3">
        <f>IFERROR(INDEX('Invite Builder'!$D:$D,ROW()-3),"")</f>
        <v>0</v>
      </c>
      <c r="D163" s="3">
        <f>IFERROR(INDEX('Invite Builder'!$E:$E,ROW()-3),"")</f>
        <v>0</v>
      </c>
      <c r="E163" s="3">
        <f>IFERROR(INDEX('Invite Builder'!$B:$B,ROW()-3),"")</f>
        <v>0</v>
      </c>
      <c r="F163" s="3">
        <f>IFERROR(INDEX('Invite Builder'!$I:$I,ROW()-3),"")</f>
        <v>0</v>
      </c>
      <c r="G163" s="3">
        <f>IFERROR(INDEX('Invite Builder'!$G:$G,ROW()-3),"")</f>
        <v>0</v>
      </c>
      <c r="H163" s="3">
        <f>IFERROR(INDEX('Invite Builder'!$H:$H,ROW()-3),"")</f>
        <v>0</v>
      </c>
      <c r="I163" s="3">
        <f>IFERROR(INDEX('Invite Builder'!$T:$T,ROW()-3),"")</f>
        <v>0</v>
      </c>
    </row>
    <row r="164" spans="1:9">
      <c r="A164" s="3">
        <f>IFERROR(INDEX('Invite Builder'!$A:$A,ROW()-3),"")</f>
        <v>0</v>
      </c>
      <c r="B164" s="3">
        <f>IFERROR(INDEX('Invite Builder'!$C:$C,ROW()-3),"")</f>
        <v>0</v>
      </c>
      <c r="C164" s="3">
        <f>IFERROR(INDEX('Invite Builder'!$D:$D,ROW()-3),"")</f>
        <v>0</v>
      </c>
      <c r="D164" s="3">
        <f>IFERROR(INDEX('Invite Builder'!$E:$E,ROW()-3),"")</f>
        <v>0</v>
      </c>
      <c r="E164" s="3">
        <f>IFERROR(INDEX('Invite Builder'!$B:$B,ROW()-3),"")</f>
        <v>0</v>
      </c>
      <c r="F164" s="3">
        <f>IFERROR(INDEX('Invite Builder'!$I:$I,ROW()-3),"")</f>
        <v>0</v>
      </c>
      <c r="G164" s="3">
        <f>IFERROR(INDEX('Invite Builder'!$G:$G,ROW()-3),"")</f>
        <v>0</v>
      </c>
      <c r="H164" s="3">
        <f>IFERROR(INDEX('Invite Builder'!$H:$H,ROW()-3),"")</f>
        <v>0</v>
      </c>
      <c r="I164" s="3">
        <f>IFERROR(INDEX('Invite Builder'!$T:$T,ROW()-3),"")</f>
        <v>0</v>
      </c>
    </row>
    <row r="165" spans="1:9">
      <c r="A165" s="3">
        <f>IFERROR(INDEX('Invite Builder'!$A:$A,ROW()-3),"")</f>
        <v>0</v>
      </c>
      <c r="B165" s="3">
        <f>IFERROR(INDEX('Invite Builder'!$C:$C,ROW()-3),"")</f>
        <v>0</v>
      </c>
      <c r="C165" s="3">
        <f>IFERROR(INDEX('Invite Builder'!$D:$D,ROW()-3),"")</f>
        <v>0</v>
      </c>
      <c r="D165" s="3">
        <f>IFERROR(INDEX('Invite Builder'!$E:$E,ROW()-3),"")</f>
        <v>0</v>
      </c>
      <c r="E165" s="3">
        <f>IFERROR(INDEX('Invite Builder'!$B:$B,ROW()-3),"")</f>
        <v>0</v>
      </c>
      <c r="F165" s="3">
        <f>IFERROR(INDEX('Invite Builder'!$I:$I,ROW()-3),"")</f>
        <v>0</v>
      </c>
      <c r="G165" s="3">
        <f>IFERROR(INDEX('Invite Builder'!$G:$G,ROW()-3),"")</f>
        <v>0</v>
      </c>
      <c r="H165" s="3">
        <f>IFERROR(INDEX('Invite Builder'!$H:$H,ROW()-3),"")</f>
        <v>0</v>
      </c>
      <c r="I165" s="3">
        <f>IFERROR(INDEX('Invite Builder'!$T:$T,ROW()-3),"")</f>
        <v>0</v>
      </c>
    </row>
    <row r="166" spans="1:9">
      <c r="A166" s="3">
        <f>IFERROR(INDEX('Invite Builder'!$A:$A,ROW()-3),"")</f>
        <v>0</v>
      </c>
      <c r="B166" s="3">
        <f>IFERROR(INDEX('Invite Builder'!$C:$C,ROW()-3),"")</f>
        <v>0</v>
      </c>
      <c r="C166" s="3">
        <f>IFERROR(INDEX('Invite Builder'!$D:$D,ROW()-3),"")</f>
        <v>0</v>
      </c>
      <c r="D166" s="3">
        <f>IFERROR(INDEX('Invite Builder'!$E:$E,ROW()-3),"")</f>
        <v>0</v>
      </c>
      <c r="E166" s="3">
        <f>IFERROR(INDEX('Invite Builder'!$B:$B,ROW()-3),"")</f>
        <v>0</v>
      </c>
      <c r="F166" s="3">
        <f>IFERROR(INDEX('Invite Builder'!$I:$I,ROW()-3),"")</f>
        <v>0</v>
      </c>
      <c r="G166" s="3">
        <f>IFERROR(INDEX('Invite Builder'!$G:$G,ROW()-3),"")</f>
        <v>0</v>
      </c>
      <c r="H166" s="3">
        <f>IFERROR(INDEX('Invite Builder'!$H:$H,ROW()-3),"")</f>
        <v>0</v>
      </c>
      <c r="I166" s="3">
        <f>IFERROR(INDEX('Invite Builder'!$T:$T,ROW()-3),"")</f>
        <v>0</v>
      </c>
    </row>
    <row r="167" spans="1:9">
      <c r="A167" s="3">
        <f>IFERROR(INDEX('Invite Builder'!$A:$A,ROW()-3),"")</f>
        <v>0</v>
      </c>
      <c r="B167" s="3">
        <f>IFERROR(INDEX('Invite Builder'!$C:$C,ROW()-3),"")</f>
        <v>0</v>
      </c>
      <c r="C167" s="3">
        <f>IFERROR(INDEX('Invite Builder'!$D:$D,ROW()-3),"")</f>
        <v>0</v>
      </c>
      <c r="D167" s="3">
        <f>IFERROR(INDEX('Invite Builder'!$E:$E,ROW()-3),"")</f>
        <v>0</v>
      </c>
      <c r="E167" s="3">
        <f>IFERROR(INDEX('Invite Builder'!$B:$B,ROW()-3),"")</f>
        <v>0</v>
      </c>
      <c r="F167" s="3">
        <f>IFERROR(INDEX('Invite Builder'!$I:$I,ROW()-3),"")</f>
        <v>0</v>
      </c>
      <c r="G167" s="3">
        <f>IFERROR(INDEX('Invite Builder'!$G:$G,ROW()-3),"")</f>
        <v>0</v>
      </c>
      <c r="H167" s="3">
        <f>IFERROR(INDEX('Invite Builder'!$H:$H,ROW()-3),"")</f>
        <v>0</v>
      </c>
      <c r="I167" s="3">
        <f>IFERROR(INDEX('Invite Builder'!$T:$T,ROW()-3),"")</f>
        <v>0</v>
      </c>
    </row>
    <row r="168" spans="1:9">
      <c r="A168" s="3">
        <f>IFERROR(INDEX('Invite Builder'!$A:$A,ROW()-3),"")</f>
        <v>0</v>
      </c>
      <c r="B168" s="3">
        <f>IFERROR(INDEX('Invite Builder'!$C:$C,ROW()-3),"")</f>
        <v>0</v>
      </c>
      <c r="C168" s="3">
        <f>IFERROR(INDEX('Invite Builder'!$D:$D,ROW()-3),"")</f>
        <v>0</v>
      </c>
      <c r="D168" s="3">
        <f>IFERROR(INDEX('Invite Builder'!$E:$E,ROW()-3),"")</f>
        <v>0</v>
      </c>
      <c r="E168" s="3">
        <f>IFERROR(INDEX('Invite Builder'!$B:$B,ROW()-3),"")</f>
        <v>0</v>
      </c>
      <c r="F168" s="3">
        <f>IFERROR(INDEX('Invite Builder'!$I:$I,ROW()-3),"")</f>
        <v>0</v>
      </c>
      <c r="G168" s="3">
        <f>IFERROR(INDEX('Invite Builder'!$G:$G,ROW()-3),"")</f>
        <v>0</v>
      </c>
      <c r="H168" s="3">
        <f>IFERROR(INDEX('Invite Builder'!$H:$H,ROW()-3),"")</f>
        <v>0</v>
      </c>
      <c r="I168" s="3">
        <f>IFERROR(INDEX('Invite Builder'!$T:$T,ROW()-3),"")</f>
        <v>0</v>
      </c>
    </row>
    <row r="169" spans="1:9">
      <c r="A169" s="3">
        <f>IFERROR(INDEX('Invite Builder'!$A:$A,ROW()-3),"")</f>
        <v>0</v>
      </c>
      <c r="B169" s="3">
        <f>IFERROR(INDEX('Invite Builder'!$C:$C,ROW()-3),"")</f>
        <v>0</v>
      </c>
      <c r="C169" s="3">
        <f>IFERROR(INDEX('Invite Builder'!$D:$D,ROW()-3),"")</f>
        <v>0</v>
      </c>
      <c r="D169" s="3">
        <f>IFERROR(INDEX('Invite Builder'!$E:$E,ROW()-3),"")</f>
        <v>0</v>
      </c>
      <c r="E169" s="3">
        <f>IFERROR(INDEX('Invite Builder'!$B:$B,ROW()-3),"")</f>
        <v>0</v>
      </c>
      <c r="F169" s="3">
        <f>IFERROR(INDEX('Invite Builder'!$I:$I,ROW()-3),"")</f>
        <v>0</v>
      </c>
      <c r="G169" s="3">
        <f>IFERROR(INDEX('Invite Builder'!$G:$G,ROW()-3),"")</f>
        <v>0</v>
      </c>
      <c r="H169" s="3">
        <f>IFERROR(INDEX('Invite Builder'!$H:$H,ROW()-3),"")</f>
        <v>0</v>
      </c>
      <c r="I169" s="3">
        <f>IFERROR(INDEX('Invite Builder'!$T:$T,ROW()-3),"")</f>
        <v>0</v>
      </c>
    </row>
    <row r="170" spans="1:9">
      <c r="A170" s="3">
        <f>IFERROR(INDEX('Invite Builder'!$A:$A,ROW()-3),"")</f>
        <v>0</v>
      </c>
      <c r="B170" s="3">
        <f>IFERROR(INDEX('Invite Builder'!$C:$C,ROW()-3),"")</f>
        <v>0</v>
      </c>
      <c r="C170" s="3">
        <f>IFERROR(INDEX('Invite Builder'!$D:$D,ROW()-3),"")</f>
        <v>0</v>
      </c>
      <c r="D170" s="3">
        <f>IFERROR(INDEX('Invite Builder'!$E:$E,ROW()-3),"")</f>
        <v>0</v>
      </c>
      <c r="E170" s="3">
        <f>IFERROR(INDEX('Invite Builder'!$B:$B,ROW()-3),"")</f>
        <v>0</v>
      </c>
      <c r="F170" s="3">
        <f>IFERROR(INDEX('Invite Builder'!$I:$I,ROW()-3),"")</f>
        <v>0</v>
      </c>
      <c r="G170" s="3">
        <f>IFERROR(INDEX('Invite Builder'!$G:$G,ROW()-3),"")</f>
        <v>0</v>
      </c>
      <c r="H170" s="3">
        <f>IFERROR(INDEX('Invite Builder'!$H:$H,ROW()-3),"")</f>
        <v>0</v>
      </c>
      <c r="I170" s="3">
        <f>IFERROR(INDEX('Invite Builder'!$T:$T,ROW()-3),"")</f>
        <v>0</v>
      </c>
    </row>
    <row r="171" spans="1:9">
      <c r="A171" s="3">
        <f>IFERROR(INDEX('Invite Builder'!$A:$A,ROW()-3),"")</f>
        <v>0</v>
      </c>
      <c r="B171" s="3">
        <f>IFERROR(INDEX('Invite Builder'!$C:$C,ROW()-3),"")</f>
        <v>0</v>
      </c>
      <c r="C171" s="3">
        <f>IFERROR(INDEX('Invite Builder'!$D:$D,ROW()-3),"")</f>
        <v>0</v>
      </c>
      <c r="D171" s="3">
        <f>IFERROR(INDEX('Invite Builder'!$E:$E,ROW()-3),"")</f>
        <v>0</v>
      </c>
      <c r="E171" s="3">
        <f>IFERROR(INDEX('Invite Builder'!$B:$B,ROW()-3),"")</f>
        <v>0</v>
      </c>
      <c r="F171" s="3">
        <f>IFERROR(INDEX('Invite Builder'!$I:$I,ROW()-3),"")</f>
        <v>0</v>
      </c>
      <c r="G171" s="3">
        <f>IFERROR(INDEX('Invite Builder'!$G:$G,ROW()-3),"")</f>
        <v>0</v>
      </c>
      <c r="H171" s="3">
        <f>IFERROR(INDEX('Invite Builder'!$H:$H,ROW()-3),"")</f>
        <v>0</v>
      </c>
      <c r="I171" s="3">
        <f>IFERROR(INDEX('Invite Builder'!$T:$T,ROW()-3),"")</f>
        <v>0</v>
      </c>
    </row>
    <row r="172" spans="1:9">
      <c r="A172" s="3">
        <f>IFERROR(INDEX('Invite Builder'!$A:$A,ROW()-3),"")</f>
        <v>0</v>
      </c>
      <c r="B172" s="3">
        <f>IFERROR(INDEX('Invite Builder'!$C:$C,ROW()-3),"")</f>
        <v>0</v>
      </c>
      <c r="C172" s="3">
        <f>IFERROR(INDEX('Invite Builder'!$D:$D,ROW()-3),"")</f>
        <v>0</v>
      </c>
      <c r="D172" s="3">
        <f>IFERROR(INDEX('Invite Builder'!$E:$E,ROW()-3),"")</f>
        <v>0</v>
      </c>
      <c r="E172" s="3">
        <f>IFERROR(INDEX('Invite Builder'!$B:$B,ROW()-3),"")</f>
        <v>0</v>
      </c>
      <c r="F172" s="3">
        <f>IFERROR(INDEX('Invite Builder'!$I:$I,ROW()-3),"")</f>
        <v>0</v>
      </c>
      <c r="G172" s="3">
        <f>IFERROR(INDEX('Invite Builder'!$G:$G,ROW()-3),"")</f>
        <v>0</v>
      </c>
      <c r="H172" s="3">
        <f>IFERROR(INDEX('Invite Builder'!$H:$H,ROW()-3),"")</f>
        <v>0</v>
      </c>
      <c r="I172" s="3">
        <f>IFERROR(INDEX('Invite Builder'!$T:$T,ROW()-3),"")</f>
        <v>0</v>
      </c>
    </row>
    <row r="173" spans="1:9">
      <c r="A173" s="3">
        <f>IFERROR(INDEX('Invite Builder'!$A:$A,ROW()-3),"")</f>
        <v>0</v>
      </c>
      <c r="B173" s="3">
        <f>IFERROR(INDEX('Invite Builder'!$C:$C,ROW()-3),"")</f>
        <v>0</v>
      </c>
      <c r="C173" s="3">
        <f>IFERROR(INDEX('Invite Builder'!$D:$D,ROW()-3),"")</f>
        <v>0</v>
      </c>
      <c r="D173" s="3">
        <f>IFERROR(INDEX('Invite Builder'!$E:$E,ROW()-3),"")</f>
        <v>0</v>
      </c>
      <c r="E173" s="3">
        <f>IFERROR(INDEX('Invite Builder'!$B:$B,ROW()-3),"")</f>
        <v>0</v>
      </c>
      <c r="F173" s="3">
        <f>IFERROR(INDEX('Invite Builder'!$I:$I,ROW()-3),"")</f>
        <v>0</v>
      </c>
      <c r="G173" s="3">
        <f>IFERROR(INDEX('Invite Builder'!$G:$G,ROW()-3),"")</f>
        <v>0</v>
      </c>
      <c r="H173" s="3">
        <f>IFERROR(INDEX('Invite Builder'!$H:$H,ROW()-3),"")</f>
        <v>0</v>
      </c>
      <c r="I173" s="3">
        <f>IFERROR(INDEX('Invite Builder'!$T:$T,ROW()-3),"")</f>
        <v>0</v>
      </c>
    </row>
    <row r="174" spans="1:9">
      <c r="A174" s="3">
        <f>IFERROR(INDEX('Invite Builder'!$A:$A,ROW()-3),"")</f>
        <v>0</v>
      </c>
      <c r="B174" s="3">
        <f>IFERROR(INDEX('Invite Builder'!$C:$C,ROW()-3),"")</f>
        <v>0</v>
      </c>
      <c r="C174" s="3">
        <f>IFERROR(INDEX('Invite Builder'!$D:$D,ROW()-3),"")</f>
        <v>0</v>
      </c>
      <c r="D174" s="3">
        <f>IFERROR(INDEX('Invite Builder'!$E:$E,ROW()-3),"")</f>
        <v>0</v>
      </c>
      <c r="E174" s="3">
        <f>IFERROR(INDEX('Invite Builder'!$B:$B,ROW()-3),"")</f>
        <v>0</v>
      </c>
      <c r="F174" s="3">
        <f>IFERROR(INDEX('Invite Builder'!$I:$I,ROW()-3),"")</f>
        <v>0</v>
      </c>
      <c r="G174" s="3">
        <f>IFERROR(INDEX('Invite Builder'!$G:$G,ROW()-3),"")</f>
        <v>0</v>
      </c>
      <c r="H174" s="3">
        <f>IFERROR(INDEX('Invite Builder'!$H:$H,ROW()-3),"")</f>
        <v>0</v>
      </c>
      <c r="I174" s="3">
        <f>IFERROR(INDEX('Invite Builder'!$T:$T,ROW()-3),"")</f>
        <v>0</v>
      </c>
    </row>
    <row r="175" spans="1:9">
      <c r="A175" s="3">
        <f>IFERROR(INDEX('Invite Builder'!$A:$A,ROW()-3),"")</f>
        <v>0</v>
      </c>
      <c r="B175" s="3">
        <f>IFERROR(INDEX('Invite Builder'!$C:$C,ROW()-3),"")</f>
        <v>0</v>
      </c>
      <c r="C175" s="3">
        <f>IFERROR(INDEX('Invite Builder'!$D:$D,ROW()-3),"")</f>
        <v>0</v>
      </c>
      <c r="D175" s="3">
        <f>IFERROR(INDEX('Invite Builder'!$E:$E,ROW()-3),"")</f>
        <v>0</v>
      </c>
      <c r="E175" s="3">
        <f>IFERROR(INDEX('Invite Builder'!$B:$B,ROW()-3),"")</f>
        <v>0</v>
      </c>
      <c r="F175" s="3">
        <f>IFERROR(INDEX('Invite Builder'!$I:$I,ROW()-3),"")</f>
        <v>0</v>
      </c>
      <c r="G175" s="3">
        <f>IFERROR(INDEX('Invite Builder'!$G:$G,ROW()-3),"")</f>
        <v>0</v>
      </c>
      <c r="H175" s="3">
        <f>IFERROR(INDEX('Invite Builder'!$H:$H,ROW()-3),"")</f>
        <v>0</v>
      </c>
      <c r="I175" s="3">
        <f>IFERROR(INDEX('Invite Builder'!$T:$T,ROW()-3),"")</f>
        <v>0</v>
      </c>
    </row>
    <row r="176" spans="1:9">
      <c r="A176" s="3">
        <f>IFERROR(INDEX('Invite Builder'!$A:$A,ROW()-3),"")</f>
        <v>0</v>
      </c>
      <c r="B176" s="3">
        <f>IFERROR(INDEX('Invite Builder'!$C:$C,ROW()-3),"")</f>
        <v>0</v>
      </c>
      <c r="C176" s="3">
        <f>IFERROR(INDEX('Invite Builder'!$D:$D,ROW()-3),"")</f>
        <v>0</v>
      </c>
      <c r="D176" s="3">
        <f>IFERROR(INDEX('Invite Builder'!$E:$E,ROW()-3),"")</f>
        <v>0</v>
      </c>
      <c r="E176" s="3">
        <f>IFERROR(INDEX('Invite Builder'!$B:$B,ROW()-3),"")</f>
        <v>0</v>
      </c>
      <c r="F176" s="3">
        <f>IFERROR(INDEX('Invite Builder'!$I:$I,ROW()-3),"")</f>
        <v>0</v>
      </c>
      <c r="G176" s="3">
        <f>IFERROR(INDEX('Invite Builder'!$G:$G,ROW()-3),"")</f>
        <v>0</v>
      </c>
      <c r="H176" s="3">
        <f>IFERROR(INDEX('Invite Builder'!$H:$H,ROW()-3),"")</f>
        <v>0</v>
      </c>
      <c r="I176" s="3">
        <f>IFERROR(INDEX('Invite Builder'!$T:$T,ROW()-3),"")</f>
        <v>0</v>
      </c>
    </row>
    <row r="177" spans="1:9">
      <c r="A177" s="3">
        <f>IFERROR(INDEX('Invite Builder'!$A:$A,ROW()-3),"")</f>
        <v>0</v>
      </c>
      <c r="B177" s="3">
        <f>IFERROR(INDEX('Invite Builder'!$C:$C,ROW()-3),"")</f>
        <v>0</v>
      </c>
      <c r="C177" s="3">
        <f>IFERROR(INDEX('Invite Builder'!$D:$D,ROW()-3),"")</f>
        <v>0</v>
      </c>
      <c r="D177" s="3">
        <f>IFERROR(INDEX('Invite Builder'!$E:$E,ROW()-3),"")</f>
        <v>0</v>
      </c>
      <c r="E177" s="3">
        <f>IFERROR(INDEX('Invite Builder'!$B:$B,ROW()-3),"")</f>
        <v>0</v>
      </c>
      <c r="F177" s="3">
        <f>IFERROR(INDEX('Invite Builder'!$I:$I,ROW()-3),"")</f>
        <v>0</v>
      </c>
      <c r="G177" s="3">
        <f>IFERROR(INDEX('Invite Builder'!$G:$G,ROW()-3),"")</f>
        <v>0</v>
      </c>
      <c r="H177" s="3">
        <f>IFERROR(INDEX('Invite Builder'!$H:$H,ROW()-3),"")</f>
        <v>0</v>
      </c>
      <c r="I177" s="3">
        <f>IFERROR(INDEX('Invite Builder'!$T:$T,ROW()-3),"")</f>
        <v>0</v>
      </c>
    </row>
    <row r="178" spans="1:9">
      <c r="A178" s="3">
        <f>IFERROR(INDEX('Invite Builder'!$A:$A,ROW()-3),"")</f>
        <v>0</v>
      </c>
      <c r="B178" s="3">
        <f>IFERROR(INDEX('Invite Builder'!$C:$C,ROW()-3),"")</f>
        <v>0</v>
      </c>
      <c r="C178" s="3">
        <f>IFERROR(INDEX('Invite Builder'!$D:$D,ROW()-3),"")</f>
        <v>0</v>
      </c>
      <c r="D178" s="3">
        <f>IFERROR(INDEX('Invite Builder'!$E:$E,ROW()-3),"")</f>
        <v>0</v>
      </c>
      <c r="E178" s="3">
        <f>IFERROR(INDEX('Invite Builder'!$B:$B,ROW()-3),"")</f>
        <v>0</v>
      </c>
      <c r="F178" s="3">
        <f>IFERROR(INDEX('Invite Builder'!$I:$I,ROW()-3),"")</f>
        <v>0</v>
      </c>
      <c r="G178" s="3">
        <f>IFERROR(INDEX('Invite Builder'!$G:$G,ROW()-3),"")</f>
        <v>0</v>
      </c>
      <c r="H178" s="3">
        <f>IFERROR(INDEX('Invite Builder'!$H:$H,ROW()-3),"")</f>
        <v>0</v>
      </c>
      <c r="I178" s="3">
        <f>IFERROR(INDEX('Invite Builder'!$T:$T,ROW()-3),"")</f>
        <v>0</v>
      </c>
    </row>
    <row r="179" spans="1:9">
      <c r="A179" s="3">
        <f>IFERROR(INDEX('Invite Builder'!$A:$A,ROW()-3),"")</f>
        <v>0</v>
      </c>
      <c r="B179" s="3">
        <f>IFERROR(INDEX('Invite Builder'!$C:$C,ROW()-3),"")</f>
        <v>0</v>
      </c>
      <c r="C179" s="3">
        <f>IFERROR(INDEX('Invite Builder'!$D:$D,ROW()-3),"")</f>
        <v>0</v>
      </c>
      <c r="D179" s="3">
        <f>IFERROR(INDEX('Invite Builder'!$E:$E,ROW()-3),"")</f>
        <v>0</v>
      </c>
      <c r="E179" s="3">
        <f>IFERROR(INDEX('Invite Builder'!$B:$B,ROW()-3),"")</f>
        <v>0</v>
      </c>
      <c r="F179" s="3">
        <f>IFERROR(INDEX('Invite Builder'!$I:$I,ROW()-3),"")</f>
        <v>0</v>
      </c>
      <c r="G179" s="3">
        <f>IFERROR(INDEX('Invite Builder'!$G:$G,ROW()-3),"")</f>
        <v>0</v>
      </c>
      <c r="H179" s="3">
        <f>IFERROR(INDEX('Invite Builder'!$H:$H,ROW()-3),"")</f>
        <v>0</v>
      </c>
      <c r="I179" s="3">
        <f>IFERROR(INDEX('Invite Builder'!$T:$T,ROW()-3),"")</f>
        <v>0</v>
      </c>
    </row>
    <row r="180" spans="1:9">
      <c r="A180" s="3">
        <f>IFERROR(INDEX('Invite Builder'!$A:$A,ROW()-3),"")</f>
        <v>0</v>
      </c>
      <c r="B180" s="3">
        <f>IFERROR(INDEX('Invite Builder'!$C:$C,ROW()-3),"")</f>
        <v>0</v>
      </c>
      <c r="C180" s="3">
        <f>IFERROR(INDEX('Invite Builder'!$D:$D,ROW()-3),"")</f>
        <v>0</v>
      </c>
      <c r="D180" s="3">
        <f>IFERROR(INDEX('Invite Builder'!$E:$E,ROW()-3),"")</f>
        <v>0</v>
      </c>
      <c r="E180" s="3">
        <f>IFERROR(INDEX('Invite Builder'!$B:$B,ROW()-3),"")</f>
        <v>0</v>
      </c>
      <c r="F180" s="3">
        <f>IFERROR(INDEX('Invite Builder'!$I:$I,ROW()-3),"")</f>
        <v>0</v>
      </c>
      <c r="G180" s="3">
        <f>IFERROR(INDEX('Invite Builder'!$G:$G,ROW()-3),"")</f>
        <v>0</v>
      </c>
      <c r="H180" s="3">
        <f>IFERROR(INDEX('Invite Builder'!$H:$H,ROW()-3),"")</f>
        <v>0</v>
      </c>
      <c r="I180" s="3">
        <f>IFERROR(INDEX('Invite Builder'!$T:$T,ROW()-3),"")</f>
        <v>0</v>
      </c>
    </row>
    <row r="181" spans="1:9">
      <c r="A181" s="3">
        <f>IFERROR(INDEX('Invite Builder'!$A:$A,ROW()-3),"")</f>
        <v>0</v>
      </c>
      <c r="B181" s="3">
        <f>IFERROR(INDEX('Invite Builder'!$C:$C,ROW()-3),"")</f>
        <v>0</v>
      </c>
      <c r="C181" s="3">
        <f>IFERROR(INDEX('Invite Builder'!$D:$D,ROW()-3),"")</f>
        <v>0</v>
      </c>
      <c r="D181" s="3">
        <f>IFERROR(INDEX('Invite Builder'!$E:$E,ROW()-3),"")</f>
        <v>0</v>
      </c>
      <c r="E181" s="3">
        <f>IFERROR(INDEX('Invite Builder'!$B:$B,ROW()-3),"")</f>
        <v>0</v>
      </c>
      <c r="F181" s="3">
        <f>IFERROR(INDEX('Invite Builder'!$I:$I,ROW()-3),"")</f>
        <v>0</v>
      </c>
      <c r="G181" s="3">
        <f>IFERROR(INDEX('Invite Builder'!$G:$G,ROW()-3),"")</f>
        <v>0</v>
      </c>
      <c r="H181" s="3">
        <f>IFERROR(INDEX('Invite Builder'!$H:$H,ROW()-3),"")</f>
        <v>0</v>
      </c>
      <c r="I181" s="3">
        <f>IFERROR(INDEX('Invite Builder'!$T:$T,ROW()-3),"")</f>
        <v>0</v>
      </c>
    </row>
    <row r="182" spans="1:9">
      <c r="A182" s="3">
        <f>IFERROR(INDEX('Invite Builder'!$A:$A,ROW()-3),"")</f>
        <v>0</v>
      </c>
      <c r="B182" s="3">
        <f>IFERROR(INDEX('Invite Builder'!$C:$C,ROW()-3),"")</f>
        <v>0</v>
      </c>
      <c r="C182" s="3">
        <f>IFERROR(INDEX('Invite Builder'!$D:$D,ROW()-3),"")</f>
        <v>0</v>
      </c>
      <c r="D182" s="3">
        <f>IFERROR(INDEX('Invite Builder'!$E:$E,ROW()-3),"")</f>
        <v>0</v>
      </c>
      <c r="E182" s="3">
        <f>IFERROR(INDEX('Invite Builder'!$B:$B,ROW()-3),"")</f>
        <v>0</v>
      </c>
      <c r="F182" s="3">
        <f>IFERROR(INDEX('Invite Builder'!$I:$I,ROW()-3),"")</f>
        <v>0</v>
      </c>
      <c r="G182" s="3">
        <f>IFERROR(INDEX('Invite Builder'!$G:$G,ROW()-3),"")</f>
        <v>0</v>
      </c>
      <c r="H182" s="3">
        <f>IFERROR(INDEX('Invite Builder'!$H:$H,ROW()-3),"")</f>
        <v>0</v>
      </c>
      <c r="I182" s="3">
        <f>IFERROR(INDEX('Invite Builder'!$T:$T,ROW()-3),"")</f>
        <v>0</v>
      </c>
    </row>
    <row r="183" spans="1:9">
      <c r="A183" s="3">
        <f>IFERROR(INDEX('Invite Builder'!$A:$A,ROW()-3),"")</f>
        <v>0</v>
      </c>
      <c r="B183" s="3">
        <f>IFERROR(INDEX('Invite Builder'!$C:$C,ROW()-3),"")</f>
        <v>0</v>
      </c>
      <c r="C183" s="3">
        <f>IFERROR(INDEX('Invite Builder'!$D:$D,ROW()-3),"")</f>
        <v>0</v>
      </c>
      <c r="D183" s="3">
        <f>IFERROR(INDEX('Invite Builder'!$E:$E,ROW()-3),"")</f>
        <v>0</v>
      </c>
      <c r="E183" s="3">
        <f>IFERROR(INDEX('Invite Builder'!$B:$B,ROW()-3),"")</f>
        <v>0</v>
      </c>
      <c r="F183" s="3">
        <f>IFERROR(INDEX('Invite Builder'!$I:$I,ROW()-3),"")</f>
        <v>0</v>
      </c>
      <c r="G183" s="3">
        <f>IFERROR(INDEX('Invite Builder'!$G:$G,ROW()-3),"")</f>
        <v>0</v>
      </c>
      <c r="H183" s="3">
        <f>IFERROR(INDEX('Invite Builder'!$H:$H,ROW()-3),"")</f>
        <v>0</v>
      </c>
      <c r="I183" s="3">
        <f>IFERROR(INDEX('Invite Builder'!$T:$T,ROW()-3),"")</f>
        <v>0</v>
      </c>
    </row>
    <row r="184" spans="1:9">
      <c r="A184" s="3">
        <f>IFERROR(INDEX('Invite Builder'!$A:$A,ROW()-3),"")</f>
        <v>0</v>
      </c>
      <c r="B184" s="3">
        <f>IFERROR(INDEX('Invite Builder'!$C:$C,ROW()-3),"")</f>
        <v>0</v>
      </c>
      <c r="C184" s="3">
        <f>IFERROR(INDEX('Invite Builder'!$D:$D,ROW()-3),"")</f>
        <v>0</v>
      </c>
      <c r="D184" s="3">
        <f>IFERROR(INDEX('Invite Builder'!$E:$E,ROW()-3),"")</f>
        <v>0</v>
      </c>
      <c r="E184" s="3">
        <f>IFERROR(INDEX('Invite Builder'!$B:$B,ROW()-3),"")</f>
        <v>0</v>
      </c>
      <c r="F184" s="3">
        <f>IFERROR(INDEX('Invite Builder'!$I:$I,ROW()-3),"")</f>
        <v>0</v>
      </c>
      <c r="G184" s="3">
        <f>IFERROR(INDEX('Invite Builder'!$G:$G,ROW()-3),"")</f>
        <v>0</v>
      </c>
      <c r="H184" s="3">
        <f>IFERROR(INDEX('Invite Builder'!$H:$H,ROW()-3),"")</f>
        <v>0</v>
      </c>
      <c r="I184" s="3">
        <f>IFERROR(INDEX('Invite Builder'!$T:$T,ROW()-3),"")</f>
        <v>0</v>
      </c>
    </row>
    <row r="185" spans="1:9">
      <c r="A185" s="3">
        <f>IFERROR(INDEX('Invite Builder'!$A:$A,ROW()-3),"")</f>
        <v>0</v>
      </c>
      <c r="B185" s="3">
        <f>IFERROR(INDEX('Invite Builder'!$C:$C,ROW()-3),"")</f>
        <v>0</v>
      </c>
      <c r="C185" s="3">
        <f>IFERROR(INDEX('Invite Builder'!$D:$D,ROW()-3),"")</f>
        <v>0</v>
      </c>
      <c r="D185" s="3">
        <f>IFERROR(INDEX('Invite Builder'!$E:$E,ROW()-3),"")</f>
        <v>0</v>
      </c>
      <c r="E185" s="3">
        <f>IFERROR(INDEX('Invite Builder'!$B:$B,ROW()-3),"")</f>
        <v>0</v>
      </c>
      <c r="F185" s="3">
        <f>IFERROR(INDEX('Invite Builder'!$I:$I,ROW()-3),"")</f>
        <v>0</v>
      </c>
      <c r="G185" s="3">
        <f>IFERROR(INDEX('Invite Builder'!$G:$G,ROW()-3),"")</f>
        <v>0</v>
      </c>
      <c r="H185" s="3">
        <f>IFERROR(INDEX('Invite Builder'!$H:$H,ROW()-3),"")</f>
        <v>0</v>
      </c>
      <c r="I185" s="3">
        <f>IFERROR(INDEX('Invite Builder'!$T:$T,ROW()-3),"")</f>
        <v>0</v>
      </c>
    </row>
    <row r="186" spans="1:9">
      <c r="A186" s="3">
        <f>IFERROR(INDEX('Invite Builder'!$A:$A,ROW()-3),"")</f>
        <v>0</v>
      </c>
      <c r="B186" s="3">
        <f>IFERROR(INDEX('Invite Builder'!$C:$C,ROW()-3),"")</f>
        <v>0</v>
      </c>
      <c r="C186" s="3">
        <f>IFERROR(INDEX('Invite Builder'!$D:$D,ROW()-3),"")</f>
        <v>0</v>
      </c>
      <c r="D186" s="3">
        <f>IFERROR(INDEX('Invite Builder'!$E:$E,ROW()-3),"")</f>
        <v>0</v>
      </c>
      <c r="E186" s="3">
        <f>IFERROR(INDEX('Invite Builder'!$B:$B,ROW()-3),"")</f>
        <v>0</v>
      </c>
      <c r="F186" s="3">
        <f>IFERROR(INDEX('Invite Builder'!$I:$I,ROW()-3),"")</f>
        <v>0</v>
      </c>
      <c r="G186" s="3">
        <f>IFERROR(INDEX('Invite Builder'!$G:$G,ROW()-3),"")</f>
        <v>0</v>
      </c>
      <c r="H186" s="3">
        <f>IFERROR(INDEX('Invite Builder'!$H:$H,ROW()-3),"")</f>
        <v>0</v>
      </c>
      <c r="I186" s="3">
        <f>IFERROR(INDEX('Invite Builder'!$T:$T,ROW()-3),"")</f>
        <v>0</v>
      </c>
    </row>
    <row r="187" spans="1:9">
      <c r="A187" s="3">
        <f>IFERROR(INDEX('Invite Builder'!$A:$A,ROW()-3),"")</f>
        <v>0</v>
      </c>
      <c r="B187" s="3">
        <f>IFERROR(INDEX('Invite Builder'!$C:$C,ROW()-3),"")</f>
        <v>0</v>
      </c>
      <c r="C187" s="3">
        <f>IFERROR(INDEX('Invite Builder'!$D:$D,ROW()-3),"")</f>
        <v>0</v>
      </c>
      <c r="D187" s="3">
        <f>IFERROR(INDEX('Invite Builder'!$E:$E,ROW()-3),"")</f>
        <v>0</v>
      </c>
      <c r="E187" s="3">
        <f>IFERROR(INDEX('Invite Builder'!$B:$B,ROW()-3),"")</f>
        <v>0</v>
      </c>
      <c r="F187" s="3">
        <f>IFERROR(INDEX('Invite Builder'!$I:$I,ROW()-3),"")</f>
        <v>0</v>
      </c>
      <c r="G187" s="3">
        <f>IFERROR(INDEX('Invite Builder'!$G:$G,ROW()-3),"")</f>
        <v>0</v>
      </c>
      <c r="H187" s="3">
        <f>IFERROR(INDEX('Invite Builder'!$H:$H,ROW()-3),"")</f>
        <v>0</v>
      </c>
      <c r="I187" s="3">
        <f>IFERROR(INDEX('Invite Builder'!$T:$T,ROW()-3),"")</f>
        <v>0</v>
      </c>
    </row>
    <row r="188" spans="1:9">
      <c r="A188" s="3">
        <f>IFERROR(INDEX('Invite Builder'!$A:$A,ROW()-3),"")</f>
        <v>0</v>
      </c>
      <c r="B188" s="3">
        <f>IFERROR(INDEX('Invite Builder'!$C:$C,ROW()-3),"")</f>
        <v>0</v>
      </c>
      <c r="C188" s="3">
        <f>IFERROR(INDEX('Invite Builder'!$D:$D,ROW()-3),"")</f>
        <v>0</v>
      </c>
      <c r="D188" s="3">
        <f>IFERROR(INDEX('Invite Builder'!$E:$E,ROW()-3),"")</f>
        <v>0</v>
      </c>
      <c r="E188" s="3">
        <f>IFERROR(INDEX('Invite Builder'!$B:$B,ROW()-3),"")</f>
        <v>0</v>
      </c>
      <c r="F188" s="3">
        <f>IFERROR(INDEX('Invite Builder'!$I:$I,ROW()-3),"")</f>
        <v>0</v>
      </c>
      <c r="G188" s="3">
        <f>IFERROR(INDEX('Invite Builder'!$G:$G,ROW()-3),"")</f>
        <v>0</v>
      </c>
      <c r="H188" s="3">
        <f>IFERROR(INDEX('Invite Builder'!$H:$H,ROW()-3),"")</f>
        <v>0</v>
      </c>
      <c r="I188" s="3">
        <f>IFERROR(INDEX('Invite Builder'!$T:$T,ROW()-3),"")</f>
        <v>0</v>
      </c>
    </row>
    <row r="189" spans="1:9">
      <c r="A189" s="3">
        <f>IFERROR(INDEX('Invite Builder'!$A:$A,ROW()-3),"")</f>
        <v>0</v>
      </c>
      <c r="B189" s="3">
        <f>IFERROR(INDEX('Invite Builder'!$C:$C,ROW()-3),"")</f>
        <v>0</v>
      </c>
      <c r="C189" s="3">
        <f>IFERROR(INDEX('Invite Builder'!$D:$D,ROW()-3),"")</f>
        <v>0</v>
      </c>
      <c r="D189" s="3">
        <f>IFERROR(INDEX('Invite Builder'!$E:$E,ROW()-3),"")</f>
        <v>0</v>
      </c>
      <c r="E189" s="3">
        <f>IFERROR(INDEX('Invite Builder'!$B:$B,ROW()-3),"")</f>
        <v>0</v>
      </c>
      <c r="F189" s="3">
        <f>IFERROR(INDEX('Invite Builder'!$I:$I,ROW()-3),"")</f>
        <v>0</v>
      </c>
      <c r="G189" s="3">
        <f>IFERROR(INDEX('Invite Builder'!$G:$G,ROW()-3),"")</f>
        <v>0</v>
      </c>
      <c r="H189" s="3">
        <f>IFERROR(INDEX('Invite Builder'!$H:$H,ROW()-3),"")</f>
        <v>0</v>
      </c>
      <c r="I189" s="3">
        <f>IFERROR(INDEX('Invite Builder'!$T:$T,ROW()-3),"")</f>
        <v>0</v>
      </c>
    </row>
    <row r="190" spans="1:9">
      <c r="A190" s="3">
        <f>IFERROR(INDEX('Invite Builder'!$A:$A,ROW()-3),"")</f>
        <v>0</v>
      </c>
      <c r="B190" s="3">
        <f>IFERROR(INDEX('Invite Builder'!$C:$C,ROW()-3),"")</f>
        <v>0</v>
      </c>
      <c r="C190" s="3">
        <f>IFERROR(INDEX('Invite Builder'!$D:$D,ROW()-3),"")</f>
        <v>0</v>
      </c>
      <c r="D190" s="3">
        <f>IFERROR(INDEX('Invite Builder'!$E:$E,ROW()-3),"")</f>
        <v>0</v>
      </c>
      <c r="E190" s="3">
        <f>IFERROR(INDEX('Invite Builder'!$B:$B,ROW()-3),"")</f>
        <v>0</v>
      </c>
      <c r="F190" s="3">
        <f>IFERROR(INDEX('Invite Builder'!$I:$I,ROW()-3),"")</f>
        <v>0</v>
      </c>
      <c r="G190" s="3">
        <f>IFERROR(INDEX('Invite Builder'!$G:$G,ROW()-3),"")</f>
        <v>0</v>
      </c>
      <c r="H190" s="3">
        <f>IFERROR(INDEX('Invite Builder'!$H:$H,ROW()-3),"")</f>
        <v>0</v>
      </c>
      <c r="I190" s="3">
        <f>IFERROR(INDEX('Invite Builder'!$T:$T,ROW()-3),"")</f>
        <v>0</v>
      </c>
    </row>
    <row r="191" spans="1:9">
      <c r="A191" s="3">
        <f>IFERROR(INDEX('Invite Builder'!$A:$A,ROW()-3),"")</f>
        <v>0</v>
      </c>
      <c r="B191" s="3">
        <f>IFERROR(INDEX('Invite Builder'!$C:$C,ROW()-3),"")</f>
        <v>0</v>
      </c>
      <c r="C191" s="3">
        <f>IFERROR(INDEX('Invite Builder'!$D:$D,ROW()-3),"")</f>
        <v>0</v>
      </c>
      <c r="D191" s="3">
        <f>IFERROR(INDEX('Invite Builder'!$E:$E,ROW()-3),"")</f>
        <v>0</v>
      </c>
      <c r="E191" s="3">
        <f>IFERROR(INDEX('Invite Builder'!$B:$B,ROW()-3),"")</f>
        <v>0</v>
      </c>
      <c r="F191" s="3">
        <f>IFERROR(INDEX('Invite Builder'!$I:$I,ROW()-3),"")</f>
        <v>0</v>
      </c>
      <c r="G191" s="3">
        <f>IFERROR(INDEX('Invite Builder'!$G:$G,ROW()-3),"")</f>
        <v>0</v>
      </c>
      <c r="H191" s="3">
        <f>IFERROR(INDEX('Invite Builder'!$H:$H,ROW()-3),"")</f>
        <v>0</v>
      </c>
      <c r="I191" s="3">
        <f>IFERROR(INDEX('Invite Builder'!$T:$T,ROW()-3),"")</f>
        <v>0</v>
      </c>
    </row>
    <row r="192" spans="1:9">
      <c r="A192" s="3">
        <f>IFERROR(INDEX('Invite Builder'!$A:$A,ROW()-3),"")</f>
        <v>0</v>
      </c>
      <c r="B192" s="3">
        <f>IFERROR(INDEX('Invite Builder'!$C:$C,ROW()-3),"")</f>
        <v>0</v>
      </c>
      <c r="C192" s="3">
        <f>IFERROR(INDEX('Invite Builder'!$D:$D,ROW()-3),"")</f>
        <v>0</v>
      </c>
      <c r="D192" s="3">
        <f>IFERROR(INDEX('Invite Builder'!$E:$E,ROW()-3),"")</f>
        <v>0</v>
      </c>
      <c r="E192" s="3">
        <f>IFERROR(INDEX('Invite Builder'!$B:$B,ROW()-3),"")</f>
        <v>0</v>
      </c>
      <c r="F192" s="3">
        <f>IFERROR(INDEX('Invite Builder'!$I:$I,ROW()-3),"")</f>
        <v>0</v>
      </c>
      <c r="G192" s="3">
        <f>IFERROR(INDEX('Invite Builder'!$G:$G,ROW()-3),"")</f>
        <v>0</v>
      </c>
      <c r="H192" s="3">
        <f>IFERROR(INDEX('Invite Builder'!$H:$H,ROW()-3),"")</f>
        <v>0</v>
      </c>
      <c r="I192" s="3">
        <f>IFERROR(INDEX('Invite Builder'!$T:$T,ROW()-3),"")</f>
        <v>0</v>
      </c>
    </row>
    <row r="193" spans="1:9">
      <c r="A193" s="3">
        <f>IFERROR(INDEX('Invite Builder'!$A:$A,ROW()-3),"")</f>
        <v>0</v>
      </c>
      <c r="B193" s="3">
        <f>IFERROR(INDEX('Invite Builder'!$C:$C,ROW()-3),"")</f>
        <v>0</v>
      </c>
      <c r="C193" s="3">
        <f>IFERROR(INDEX('Invite Builder'!$D:$D,ROW()-3),"")</f>
        <v>0</v>
      </c>
      <c r="D193" s="3">
        <f>IFERROR(INDEX('Invite Builder'!$E:$E,ROW()-3),"")</f>
        <v>0</v>
      </c>
      <c r="E193" s="3">
        <f>IFERROR(INDEX('Invite Builder'!$B:$B,ROW()-3),"")</f>
        <v>0</v>
      </c>
      <c r="F193" s="3">
        <f>IFERROR(INDEX('Invite Builder'!$I:$I,ROW()-3),"")</f>
        <v>0</v>
      </c>
      <c r="G193" s="3">
        <f>IFERROR(INDEX('Invite Builder'!$G:$G,ROW()-3),"")</f>
        <v>0</v>
      </c>
      <c r="H193" s="3">
        <f>IFERROR(INDEX('Invite Builder'!$H:$H,ROW()-3),"")</f>
        <v>0</v>
      </c>
      <c r="I193" s="3">
        <f>IFERROR(INDEX('Invite Builder'!$T:$T,ROW()-3),"")</f>
        <v>0</v>
      </c>
    </row>
    <row r="194" spans="1:9">
      <c r="A194" s="3">
        <f>IFERROR(INDEX('Invite Builder'!$A:$A,ROW()-3),"")</f>
        <v>0</v>
      </c>
      <c r="B194" s="3">
        <f>IFERROR(INDEX('Invite Builder'!$C:$C,ROW()-3),"")</f>
        <v>0</v>
      </c>
      <c r="C194" s="3">
        <f>IFERROR(INDEX('Invite Builder'!$D:$D,ROW()-3),"")</f>
        <v>0</v>
      </c>
      <c r="D194" s="3">
        <f>IFERROR(INDEX('Invite Builder'!$E:$E,ROW()-3),"")</f>
        <v>0</v>
      </c>
      <c r="E194" s="3">
        <f>IFERROR(INDEX('Invite Builder'!$B:$B,ROW()-3),"")</f>
        <v>0</v>
      </c>
      <c r="F194" s="3">
        <f>IFERROR(INDEX('Invite Builder'!$I:$I,ROW()-3),"")</f>
        <v>0</v>
      </c>
      <c r="G194" s="3">
        <f>IFERROR(INDEX('Invite Builder'!$G:$G,ROW()-3),"")</f>
        <v>0</v>
      </c>
      <c r="H194" s="3">
        <f>IFERROR(INDEX('Invite Builder'!$H:$H,ROW()-3),"")</f>
        <v>0</v>
      </c>
      <c r="I194" s="3">
        <f>IFERROR(INDEX('Invite Builder'!$T:$T,ROW()-3),"")</f>
        <v>0</v>
      </c>
    </row>
    <row r="195" spans="1:9">
      <c r="A195" s="3">
        <f>IFERROR(INDEX('Invite Builder'!$A:$A,ROW()-3),"")</f>
        <v>0</v>
      </c>
      <c r="B195" s="3">
        <f>IFERROR(INDEX('Invite Builder'!$C:$C,ROW()-3),"")</f>
        <v>0</v>
      </c>
      <c r="C195" s="3">
        <f>IFERROR(INDEX('Invite Builder'!$D:$D,ROW()-3),"")</f>
        <v>0</v>
      </c>
      <c r="D195" s="3">
        <f>IFERROR(INDEX('Invite Builder'!$E:$E,ROW()-3),"")</f>
        <v>0</v>
      </c>
      <c r="E195" s="3">
        <f>IFERROR(INDEX('Invite Builder'!$B:$B,ROW()-3),"")</f>
        <v>0</v>
      </c>
      <c r="F195" s="3">
        <f>IFERROR(INDEX('Invite Builder'!$I:$I,ROW()-3),"")</f>
        <v>0</v>
      </c>
      <c r="G195" s="3">
        <f>IFERROR(INDEX('Invite Builder'!$G:$G,ROW()-3),"")</f>
        <v>0</v>
      </c>
      <c r="H195" s="3">
        <f>IFERROR(INDEX('Invite Builder'!$H:$H,ROW()-3),"")</f>
        <v>0</v>
      </c>
      <c r="I195" s="3">
        <f>IFERROR(INDEX('Invite Builder'!$T:$T,ROW()-3),"")</f>
        <v>0</v>
      </c>
    </row>
    <row r="196" spans="1:9">
      <c r="A196" s="3">
        <f>IFERROR(INDEX('Invite Builder'!$A:$A,ROW()-3),"")</f>
        <v>0</v>
      </c>
      <c r="B196" s="3">
        <f>IFERROR(INDEX('Invite Builder'!$C:$C,ROW()-3),"")</f>
        <v>0</v>
      </c>
      <c r="C196" s="3">
        <f>IFERROR(INDEX('Invite Builder'!$D:$D,ROW()-3),"")</f>
        <v>0</v>
      </c>
      <c r="D196" s="3">
        <f>IFERROR(INDEX('Invite Builder'!$E:$E,ROW()-3),"")</f>
        <v>0</v>
      </c>
      <c r="E196" s="3">
        <f>IFERROR(INDEX('Invite Builder'!$B:$B,ROW()-3),"")</f>
        <v>0</v>
      </c>
      <c r="F196" s="3">
        <f>IFERROR(INDEX('Invite Builder'!$I:$I,ROW()-3),"")</f>
        <v>0</v>
      </c>
      <c r="G196" s="3">
        <f>IFERROR(INDEX('Invite Builder'!$G:$G,ROW()-3),"")</f>
        <v>0</v>
      </c>
      <c r="H196" s="3">
        <f>IFERROR(INDEX('Invite Builder'!$H:$H,ROW()-3),"")</f>
        <v>0</v>
      </c>
      <c r="I196" s="3">
        <f>IFERROR(INDEX('Invite Builder'!$T:$T,ROW()-3),"")</f>
        <v>0</v>
      </c>
    </row>
    <row r="197" spans="1:9">
      <c r="A197" s="3">
        <f>IFERROR(INDEX('Invite Builder'!$A:$A,ROW()-3),"")</f>
        <v>0</v>
      </c>
      <c r="B197" s="3">
        <f>IFERROR(INDEX('Invite Builder'!$C:$C,ROW()-3),"")</f>
        <v>0</v>
      </c>
      <c r="C197" s="3">
        <f>IFERROR(INDEX('Invite Builder'!$D:$D,ROW()-3),"")</f>
        <v>0</v>
      </c>
      <c r="D197" s="3">
        <f>IFERROR(INDEX('Invite Builder'!$E:$E,ROW()-3),"")</f>
        <v>0</v>
      </c>
      <c r="E197" s="3">
        <f>IFERROR(INDEX('Invite Builder'!$B:$B,ROW()-3),"")</f>
        <v>0</v>
      </c>
      <c r="F197" s="3">
        <f>IFERROR(INDEX('Invite Builder'!$I:$I,ROW()-3),"")</f>
        <v>0</v>
      </c>
      <c r="G197" s="3">
        <f>IFERROR(INDEX('Invite Builder'!$G:$G,ROW()-3),"")</f>
        <v>0</v>
      </c>
      <c r="H197" s="3">
        <f>IFERROR(INDEX('Invite Builder'!$H:$H,ROW()-3),"")</f>
        <v>0</v>
      </c>
      <c r="I197" s="3">
        <f>IFERROR(INDEX('Invite Builder'!$T:$T,ROW()-3),"")</f>
        <v>0</v>
      </c>
    </row>
    <row r="198" spans="1:9">
      <c r="A198" s="3">
        <f>IFERROR(INDEX('Invite Builder'!$A:$A,ROW()-3),"")</f>
        <v>0</v>
      </c>
      <c r="B198" s="3">
        <f>IFERROR(INDEX('Invite Builder'!$C:$C,ROW()-3),"")</f>
        <v>0</v>
      </c>
      <c r="C198" s="3">
        <f>IFERROR(INDEX('Invite Builder'!$D:$D,ROW()-3),"")</f>
        <v>0</v>
      </c>
      <c r="D198" s="3">
        <f>IFERROR(INDEX('Invite Builder'!$E:$E,ROW()-3),"")</f>
        <v>0</v>
      </c>
      <c r="E198" s="3">
        <f>IFERROR(INDEX('Invite Builder'!$B:$B,ROW()-3),"")</f>
        <v>0</v>
      </c>
      <c r="F198" s="3">
        <f>IFERROR(INDEX('Invite Builder'!$I:$I,ROW()-3),"")</f>
        <v>0</v>
      </c>
      <c r="G198" s="3">
        <f>IFERROR(INDEX('Invite Builder'!$G:$G,ROW()-3),"")</f>
        <v>0</v>
      </c>
      <c r="H198" s="3">
        <f>IFERROR(INDEX('Invite Builder'!$H:$H,ROW()-3),"")</f>
        <v>0</v>
      </c>
      <c r="I198" s="3">
        <f>IFERROR(INDEX('Invite Builder'!$T:$T,ROW()-3),"")</f>
        <v>0</v>
      </c>
    </row>
    <row r="199" spans="1:9">
      <c r="A199" s="3">
        <f>IFERROR(INDEX('Invite Builder'!$A:$A,ROW()-3),"")</f>
        <v>0</v>
      </c>
      <c r="B199" s="3">
        <f>IFERROR(INDEX('Invite Builder'!$C:$C,ROW()-3),"")</f>
        <v>0</v>
      </c>
      <c r="C199" s="3">
        <f>IFERROR(INDEX('Invite Builder'!$D:$D,ROW()-3),"")</f>
        <v>0</v>
      </c>
      <c r="D199" s="3">
        <f>IFERROR(INDEX('Invite Builder'!$E:$E,ROW()-3),"")</f>
        <v>0</v>
      </c>
      <c r="E199" s="3">
        <f>IFERROR(INDEX('Invite Builder'!$B:$B,ROW()-3),"")</f>
        <v>0</v>
      </c>
      <c r="F199" s="3">
        <f>IFERROR(INDEX('Invite Builder'!$I:$I,ROW()-3),"")</f>
        <v>0</v>
      </c>
      <c r="G199" s="3">
        <f>IFERROR(INDEX('Invite Builder'!$G:$G,ROW()-3),"")</f>
        <v>0</v>
      </c>
      <c r="H199" s="3">
        <f>IFERROR(INDEX('Invite Builder'!$H:$H,ROW()-3),"")</f>
        <v>0</v>
      </c>
      <c r="I199" s="3">
        <f>IFERROR(INDEX('Invite Builder'!$T:$T,ROW()-3),"")</f>
        <v>0</v>
      </c>
    </row>
    <row r="200" spans="1:9">
      <c r="A200" s="3">
        <f>IFERROR(INDEX('Invite Builder'!$A:$A,ROW()-3),"")</f>
        <v>0</v>
      </c>
      <c r="B200" s="3">
        <f>IFERROR(INDEX('Invite Builder'!$C:$C,ROW()-3),"")</f>
        <v>0</v>
      </c>
      <c r="C200" s="3">
        <f>IFERROR(INDEX('Invite Builder'!$D:$D,ROW()-3),"")</f>
        <v>0</v>
      </c>
      <c r="D200" s="3">
        <f>IFERROR(INDEX('Invite Builder'!$E:$E,ROW()-3),"")</f>
        <v>0</v>
      </c>
      <c r="E200" s="3">
        <f>IFERROR(INDEX('Invite Builder'!$B:$B,ROW()-3),"")</f>
        <v>0</v>
      </c>
      <c r="F200" s="3">
        <f>IFERROR(INDEX('Invite Builder'!$I:$I,ROW()-3),"")</f>
        <v>0</v>
      </c>
      <c r="G200" s="3">
        <f>IFERROR(INDEX('Invite Builder'!$G:$G,ROW()-3),"")</f>
        <v>0</v>
      </c>
      <c r="H200" s="3">
        <f>IFERROR(INDEX('Invite Builder'!$H:$H,ROW()-3),"")</f>
        <v>0</v>
      </c>
      <c r="I200" s="3">
        <f>IFERROR(INDEX('Invite Builder'!$T:$T,ROW()-3),"")</f>
        <v>0</v>
      </c>
    </row>
    <row r="201" spans="1:9">
      <c r="A201" s="3">
        <f>IFERROR(INDEX('Invite Builder'!$A:$A,ROW()-3),"")</f>
        <v>0</v>
      </c>
      <c r="B201" s="3">
        <f>IFERROR(INDEX('Invite Builder'!$C:$C,ROW()-3),"")</f>
        <v>0</v>
      </c>
      <c r="C201" s="3">
        <f>IFERROR(INDEX('Invite Builder'!$D:$D,ROW()-3),"")</f>
        <v>0</v>
      </c>
      <c r="D201" s="3">
        <f>IFERROR(INDEX('Invite Builder'!$E:$E,ROW()-3),"")</f>
        <v>0</v>
      </c>
      <c r="E201" s="3">
        <f>IFERROR(INDEX('Invite Builder'!$B:$B,ROW()-3),"")</f>
        <v>0</v>
      </c>
      <c r="F201" s="3">
        <f>IFERROR(INDEX('Invite Builder'!$I:$I,ROW()-3),"")</f>
        <v>0</v>
      </c>
      <c r="G201" s="3">
        <f>IFERROR(INDEX('Invite Builder'!$G:$G,ROW()-3),"")</f>
        <v>0</v>
      </c>
      <c r="H201" s="3">
        <f>IFERROR(INDEX('Invite Builder'!$H:$H,ROW()-3),"")</f>
        <v>0</v>
      </c>
      <c r="I201" s="3">
        <f>IFERROR(INDEX('Invite Builder'!$T:$T,ROW()-3),"")</f>
        <v>0</v>
      </c>
    </row>
    <row r="202" spans="1:9">
      <c r="A202" s="3">
        <f>IFERROR(INDEX('Invite Builder'!$A:$A,ROW()-3),"")</f>
        <v>0</v>
      </c>
      <c r="B202" s="3">
        <f>IFERROR(INDEX('Invite Builder'!$C:$C,ROW()-3),"")</f>
        <v>0</v>
      </c>
      <c r="C202" s="3">
        <f>IFERROR(INDEX('Invite Builder'!$D:$D,ROW()-3),"")</f>
        <v>0</v>
      </c>
      <c r="D202" s="3">
        <f>IFERROR(INDEX('Invite Builder'!$E:$E,ROW()-3),"")</f>
        <v>0</v>
      </c>
      <c r="E202" s="3">
        <f>IFERROR(INDEX('Invite Builder'!$B:$B,ROW()-3),"")</f>
        <v>0</v>
      </c>
      <c r="F202" s="3">
        <f>IFERROR(INDEX('Invite Builder'!$I:$I,ROW()-3),"")</f>
        <v>0</v>
      </c>
      <c r="G202" s="3">
        <f>IFERROR(INDEX('Invite Builder'!$G:$G,ROW()-3),"")</f>
        <v>0</v>
      </c>
      <c r="H202" s="3">
        <f>IFERROR(INDEX('Invite Builder'!$H:$H,ROW()-3),"")</f>
        <v>0</v>
      </c>
      <c r="I202" s="3">
        <f>IFERROR(INDEX('Invite Builder'!$T:$T,ROW()-3),"")</f>
        <v>0</v>
      </c>
    </row>
    <row r="203" spans="1:9">
      <c r="A203" s="3">
        <f>IFERROR(INDEX('Invite Builder'!$A:$A,ROW()-3),"")</f>
        <v>0</v>
      </c>
      <c r="B203" s="3">
        <f>IFERROR(INDEX('Invite Builder'!$C:$C,ROW()-3),"")</f>
        <v>0</v>
      </c>
      <c r="C203" s="3">
        <f>IFERROR(INDEX('Invite Builder'!$D:$D,ROW()-3),"")</f>
        <v>0</v>
      </c>
      <c r="D203" s="3">
        <f>IFERROR(INDEX('Invite Builder'!$E:$E,ROW()-3),"")</f>
        <v>0</v>
      </c>
      <c r="E203" s="3">
        <f>IFERROR(INDEX('Invite Builder'!$B:$B,ROW()-3),"")</f>
        <v>0</v>
      </c>
      <c r="F203" s="3">
        <f>IFERROR(INDEX('Invite Builder'!$I:$I,ROW()-3),"")</f>
        <v>0</v>
      </c>
      <c r="G203" s="3">
        <f>IFERROR(INDEX('Invite Builder'!$G:$G,ROW()-3),"")</f>
        <v>0</v>
      </c>
      <c r="H203" s="3">
        <f>IFERROR(INDEX('Invite Builder'!$H:$H,ROW()-3),"")</f>
        <v>0</v>
      </c>
      <c r="I203" s="3">
        <f>IFERROR(INDEX('Invite Builder'!$T:$T,ROW()-3),"")</f>
        <v>0</v>
      </c>
    </row>
    <row r="204" spans="1:9">
      <c r="A204" s="3">
        <f>IFERROR(INDEX('Invite Builder'!$A:$A,ROW()-3),"")</f>
        <v>0</v>
      </c>
      <c r="B204" s="3">
        <f>IFERROR(INDEX('Invite Builder'!$C:$C,ROW()-3),"")</f>
        <v>0</v>
      </c>
      <c r="C204" s="3">
        <f>IFERROR(INDEX('Invite Builder'!$D:$D,ROW()-3),"")</f>
        <v>0</v>
      </c>
      <c r="D204" s="3">
        <f>IFERROR(INDEX('Invite Builder'!$E:$E,ROW()-3),"")</f>
        <v>0</v>
      </c>
      <c r="E204" s="3">
        <f>IFERROR(INDEX('Invite Builder'!$B:$B,ROW()-3),"")</f>
        <v>0</v>
      </c>
      <c r="F204" s="3">
        <f>IFERROR(INDEX('Invite Builder'!$I:$I,ROW()-3),"")</f>
        <v>0</v>
      </c>
      <c r="G204" s="3">
        <f>IFERROR(INDEX('Invite Builder'!$G:$G,ROW()-3),"")</f>
        <v>0</v>
      </c>
      <c r="H204" s="3">
        <f>IFERROR(INDEX('Invite Builder'!$H:$H,ROW()-3),"")</f>
        <v>0</v>
      </c>
      <c r="I204" s="3">
        <f>IFERROR(INDEX('Invite Builder'!$T:$T,ROW()-3),"")</f>
        <v>0</v>
      </c>
    </row>
    <row r="205" spans="1:9">
      <c r="A205" s="8"/>
      <c r="B205" s="8"/>
      <c r="C205" s="8"/>
      <c r="D205" s="8"/>
      <c r="E205" s="8"/>
      <c r="F205" s="8"/>
      <c r="G205" s="8"/>
      <c r="H205" s="8"/>
      <c r="I205" s="8"/>
    </row>
    <row r="206" spans="1:9">
      <c r="A206" s="8"/>
      <c r="B206" s="8"/>
      <c r="C206" s="8"/>
      <c r="D206" s="8"/>
      <c r="E206" s="8"/>
      <c r="F206" s="8"/>
      <c r="G206" s="8"/>
      <c r="H206" s="8"/>
      <c r="I206" s="8"/>
    </row>
    <row r="207" spans="1:9">
      <c r="A207" s="8"/>
      <c r="B207" s="8"/>
      <c r="C207" s="8"/>
      <c r="D207" s="8"/>
      <c r="E207" s="8"/>
      <c r="F207" s="8"/>
      <c r="G207" s="8"/>
      <c r="H207" s="8"/>
      <c r="I207" s="8"/>
    </row>
    <row r="208" spans="1:9">
      <c r="A208" s="8"/>
      <c r="B208" s="8"/>
      <c r="C208" s="8"/>
      <c r="D208" s="8"/>
      <c r="E208" s="8"/>
      <c r="F208" s="8"/>
      <c r="G208" s="8"/>
      <c r="H208" s="8"/>
      <c r="I208" s="8"/>
    </row>
    <row r="209" spans="1:17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</row>
    <row r="210" spans="1:17" ht="20.100000000000001" customHeight="1">
      <c r="A210" s="48" t="s">
        <v>18</v>
      </c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</row>
    <row r="211" spans="1:17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</row>
    <row r="212" spans="1:17" ht="60" customHeight="1">
      <c r="A212" s="2" t="s">
        <v>19</v>
      </c>
      <c r="B212" s="45">
        <f>SUMPRODUCT(--('Invite Builder'!$A$2:$A$500&lt;&gt;""))</f>
        <v>26</v>
      </c>
      <c r="C212" s="54"/>
      <c r="D212" s="55"/>
      <c r="E212" s="4" t="s">
        <v>20</v>
      </c>
      <c r="F212" s="8"/>
      <c r="G212" s="46" t="s">
        <v>21</v>
      </c>
      <c r="H212" s="56"/>
      <c r="I212" s="56"/>
      <c r="J212" s="56"/>
      <c r="K212" s="56"/>
      <c r="L212" s="56"/>
      <c r="M212" s="56"/>
      <c r="N212" s="56"/>
      <c r="O212" s="56"/>
      <c r="P212" s="56"/>
      <c r="Q212" s="57"/>
    </row>
    <row r="213" spans="1:17" ht="15" customHeight="1">
      <c r="A213" s="2" t="s">
        <v>22</v>
      </c>
      <c r="B213" s="45">
        <f>COUNTIF('Invite Builder'!$T$2:$T$500,"Done")</f>
        <v>0</v>
      </c>
      <c r="C213" s="54"/>
      <c r="D213" s="55"/>
      <c r="E213" s="4" t="s">
        <v>23</v>
      </c>
      <c r="F213" s="8"/>
      <c r="G213" s="58"/>
      <c r="H213" s="53"/>
      <c r="I213" s="53"/>
      <c r="J213" s="53"/>
      <c r="K213" s="53"/>
      <c r="L213" s="53"/>
      <c r="M213" s="53"/>
      <c r="N213" s="53"/>
      <c r="O213" s="53"/>
      <c r="P213" s="53"/>
      <c r="Q213" s="59"/>
    </row>
    <row r="214" spans="1:17" ht="15" customHeight="1">
      <c r="A214" s="2" t="s">
        <v>24</v>
      </c>
      <c r="B214" s="45">
        <f>COUNTIF('Invite Builder'!$T$2:$T$500,"Blocked")</f>
        <v>0</v>
      </c>
      <c r="C214" s="54"/>
      <c r="D214" s="55"/>
      <c r="E214" s="4" t="s">
        <v>25</v>
      </c>
      <c r="F214" s="8"/>
      <c r="G214" s="58"/>
      <c r="H214" s="53"/>
      <c r="I214" s="53"/>
      <c r="J214" s="53"/>
      <c r="K214" s="53"/>
      <c r="L214" s="53"/>
      <c r="M214" s="53"/>
      <c r="N214" s="53"/>
      <c r="O214" s="53"/>
      <c r="P214" s="53"/>
      <c r="Q214" s="59"/>
    </row>
    <row r="215" spans="1:17">
      <c r="A215" s="8"/>
      <c r="B215" s="8"/>
      <c r="C215" s="8"/>
      <c r="D215" s="8"/>
      <c r="E215" s="8"/>
      <c r="F215" s="8"/>
      <c r="G215" s="58"/>
      <c r="H215" s="53"/>
      <c r="I215" s="53"/>
      <c r="J215" s="53"/>
      <c r="K215" s="53"/>
      <c r="L215" s="53"/>
      <c r="M215" s="53"/>
      <c r="N215" s="53"/>
      <c r="O215" s="53"/>
      <c r="P215" s="53"/>
      <c r="Q215" s="59"/>
    </row>
    <row r="216" spans="1:17" ht="27.95" customHeight="1">
      <c r="A216" s="2" t="s">
        <v>5</v>
      </c>
      <c r="B216" s="2" t="s">
        <v>4</v>
      </c>
      <c r="C216" s="2" t="s">
        <v>26</v>
      </c>
      <c r="D216" s="2" t="s">
        <v>27</v>
      </c>
      <c r="E216" s="2" t="s">
        <v>28</v>
      </c>
      <c r="F216" s="2" t="s">
        <v>29</v>
      </c>
      <c r="G216" s="58"/>
      <c r="H216" s="53"/>
      <c r="I216" s="53"/>
      <c r="J216" s="53"/>
      <c r="K216" s="53"/>
      <c r="L216" s="53"/>
      <c r="M216" s="53"/>
      <c r="N216" s="53"/>
      <c r="O216" s="53"/>
      <c r="P216" s="53"/>
      <c r="Q216" s="59"/>
    </row>
    <row r="217" spans="1:17" ht="39.950000000000003" customHeight="1">
      <c r="A217" s="7">
        <v>46051</v>
      </c>
      <c r="B217" s="3" t="s">
        <v>30</v>
      </c>
      <c r="C217" s="3" t="s">
        <v>31</v>
      </c>
      <c r="D217" s="3" t="s">
        <v>32</v>
      </c>
      <c r="E217" s="3" t="s">
        <v>33</v>
      </c>
      <c r="F217" s="3" t="s">
        <v>34</v>
      </c>
      <c r="G217" s="58"/>
      <c r="H217" s="53"/>
      <c r="I217" s="53"/>
      <c r="J217" s="53"/>
      <c r="K217" s="53"/>
      <c r="L217" s="53"/>
      <c r="M217" s="53"/>
      <c r="N217" s="53"/>
      <c r="O217" s="53"/>
      <c r="P217" s="53"/>
      <c r="Q217" s="59"/>
    </row>
    <row r="218" spans="1:17" ht="39.950000000000003" customHeight="1">
      <c r="A218" s="29">
        <v>46051</v>
      </c>
      <c r="B218" s="3" t="s">
        <v>35</v>
      </c>
      <c r="C218" s="3" t="s">
        <v>36</v>
      </c>
      <c r="D218" s="3" t="s">
        <v>37</v>
      </c>
      <c r="E218" s="3" t="s">
        <v>38</v>
      </c>
      <c r="F218" s="3"/>
      <c r="G218" s="60"/>
      <c r="H218" s="61"/>
      <c r="I218" s="61"/>
      <c r="J218" s="61"/>
      <c r="K218" s="61"/>
      <c r="L218" s="61"/>
      <c r="M218" s="61"/>
      <c r="N218" s="61"/>
      <c r="O218" s="61"/>
      <c r="P218" s="61"/>
      <c r="Q218" s="62"/>
    </row>
    <row r="219" spans="1:17" ht="39.950000000000003" customHeight="1">
      <c r="A219" s="3"/>
      <c r="B219" s="3"/>
      <c r="C219" s="3"/>
      <c r="D219" s="3"/>
      <c r="E219" s="3"/>
      <c r="F219" s="3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</row>
    <row r="220" spans="1:17" ht="39.950000000000003" customHeight="1">
      <c r="A220" s="3"/>
      <c r="B220" s="3"/>
      <c r="C220" s="3"/>
      <c r="D220" s="3"/>
      <c r="E220" s="3"/>
      <c r="F220" s="3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</row>
    <row r="221" spans="1:17" ht="39.950000000000003" customHeight="1">
      <c r="A221" s="3"/>
      <c r="B221" s="3"/>
      <c r="C221" s="3"/>
      <c r="D221" s="3"/>
      <c r="E221" s="3"/>
      <c r="F221" s="3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</row>
    <row r="222" spans="1:17" ht="39.950000000000003" customHeight="1">
      <c r="A222" s="3"/>
      <c r="B222" s="3"/>
      <c r="C222" s="3"/>
      <c r="D222" s="3"/>
      <c r="E222" s="3"/>
      <c r="F222" s="3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</row>
    <row r="223" spans="1:17" ht="39.950000000000003" customHeight="1">
      <c r="A223" s="3"/>
      <c r="B223" s="3"/>
      <c r="C223" s="3"/>
      <c r="D223" s="3"/>
      <c r="E223" s="3"/>
      <c r="F223" s="3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</row>
    <row r="224" spans="1:17" ht="39.950000000000003" customHeight="1">
      <c r="A224" s="3"/>
      <c r="B224" s="3"/>
      <c r="C224" s="3"/>
      <c r="D224" s="3"/>
      <c r="E224" s="3"/>
      <c r="F224" s="3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</row>
    <row r="225" spans="1:6" ht="39.950000000000003" customHeight="1">
      <c r="A225" s="3"/>
      <c r="B225" s="3"/>
      <c r="C225" s="3"/>
      <c r="D225" s="3"/>
      <c r="E225" s="3"/>
      <c r="F225" s="3"/>
    </row>
    <row r="226" spans="1:6" ht="39.950000000000003" customHeight="1">
      <c r="A226" s="3"/>
      <c r="B226" s="3"/>
      <c r="C226" s="3"/>
      <c r="D226" s="3"/>
      <c r="E226" s="3"/>
      <c r="F226" s="3"/>
    </row>
    <row r="227" spans="1:6" ht="39.950000000000003" customHeight="1">
      <c r="A227" s="3"/>
      <c r="B227" s="3"/>
      <c r="C227" s="3"/>
      <c r="D227" s="3"/>
      <c r="E227" s="3"/>
      <c r="F227" s="3"/>
    </row>
    <row r="228" spans="1:6" ht="39.950000000000003" customHeight="1">
      <c r="A228" s="3"/>
      <c r="B228" s="3"/>
      <c r="C228" s="3"/>
      <c r="D228" s="3"/>
      <c r="E228" s="3"/>
      <c r="F228" s="3"/>
    </row>
    <row r="229" spans="1:6" ht="39.950000000000003" customHeight="1">
      <c r="A229" s="3"/>
      <c r="B229" s="3"/>
      <c r="C229" s="3"/>
      <c r="D229" s="3"/>
      <c r="E229" s="3"/>
      <c r="F229" s="3"/>
    </row>
    <row r="230" spans="1:6" ht="39.950000000000003" customHeight="1">
      <c r="A230" s="3"/>
      <c r="B230" s="3"/>
      <c r="C230" s="3"/>
      <c r="D230" s="3"/>
      <c r="E230" s="3"/>
      <c r="F230" s="3"/>
    </row>
    <row r="231" spans="1:6" ht="39.950000000000003" customHeight="1">
      <c r="A231" s="3"/>
      <c r="B231" s="3"/>
      <c r="C231" s="3"/>
      <c r="D231" s="3"/>
      <c r="E231" s="3"/>
      <c r="F231" s="3"/>
    </row>
    <row r="232" spans="1:6" ht="39.950000000000003" customHeight="1">
      <c r="A232" s="3"/>
      <c r="B232" s="3"/>
      <c r="C232" s="3"/>
      <c r="D232" s="3"/>
      <c r="E232" s="3"/>
      <c r="F232" s="3"/>
    </row>
    <row r="233" spans="1:6" ht="39.950000000000003" customHeight="1">
      <c r="A233" s="3"/>
      <c r="B233" s="3"/>
      <c r="C233" s="3"/>
      <c r="D233" s="3"/>
      <c r="E233" s="3"/>
      <c r="F233" s="3"/>
    </row>
    <row r="234" spans="1:6" ht="39.950000000000003" customHeight="1">
      <c r="A234" s="3"/>
      <c r="B234" s="3"/>
      <c r="C234" s="3"/>
      <c r="D234" s="3"/>
      <c r="E234" s="3"/>
      <c r="F234" s="3"/>
    </row>
    <row r="235" spans="1:6" ht="39.950000000000003" customHeight="1">
      <c r="A235" s="3"/>
      <c r="B235" s="3"/>
      <c r="C235" s="3"/>
      <c r="D235" s="3"/>
      <c r="E235" s="3"/>
      <c r="F235" s="3"/>
    </row>
    <row r="236" spans="1:6" ht="39.950000000000003" customHeight="1">
      <c r="A236" s="3"/>
      <c r="B236" s="3"/>
      <c r="C236" s="3"/>
      <c r="D236" s="3"/>
      <c r="E236" s="3"/>
      <c r="F236" s="3"/>
    </row>
    <row r="237" spans="1:6" ht="39.950000000000003" customHeight="1">
      <c r="A237" s="3"/>
      <c r="B237" s="3"/>
      <c r="C237" s="3"/>
      <c r="D237" s="3"/>
      <c r="E237" s="3"/>
      <c r="F237" s="3"/>
    </row>
    <row r="238" spans="1:6" ht="39.950000000000003" customHeight="1">
      <c r="A238" s="3"/>
      <c r="B238" s="3"/>
      <c r="C238" s="3"/>
      <c r="D238" s="3"/>
      <c r="E238" s="3"/>
      <c r="F238" s="3"/>
    </row>
    <row r="239" spans="1:6" ht="39.950000000000003" customHeight="1">
      <c r="A239" s="3"/>
      <c r="B239" s="3"/>
      <c r="C239" s="3"/>
      <c r="D239" s="3"/>
      <c r="E239" s="3"/>
      <c r="F239" s="3"/>
    </row>
    <row r="240" spans="1:6" ht="39.950000000000003" customHeight="1">
      <c r="A240" s="3"/>
      <c r="B240" s="3"/>
      <c r="C240" s="3"/>
      <c r="D240" s="3"/>
      <c r="E240" s="3"/>
      <c r="F240" s="3"/>
    </row>
    <row r="241" spans="1:6" ht="39.950000000000003" customHeight="1">
      <c r="A241" s="3"/>
      <c r="B241" s="3"/>
      <c r="C241" s="3"/>
      <c r="D241" s="3"/>
      <c r="E241" s="3"/>
      <c r="F241" s="3"/>
    </row>
    <row r="242" spans="1:6" ht="39.950000000000003" customHeight="1">
      <c r="A242" s="3"/>
      <c r="B242" s="3"/>
      <c r="C242" s="3"/>
      <c r="D242" s="3"/>
      <c r="E242" s="3"/>
      <c r="F242" s="3"/>
    </row>
    <row r="243" spans="1:6" ht="39.950000000000003" customHeight="1">
      <c r="A243" s="3"/>
      <c r="B243" s="3"/>
      <c r="C243" s="3"/>
      <c r="D243" s="3"/>
      <c r="E243" s="3"/>
      <c r="F243" s="3"/>
    </row>
    <row r="244" spans="1:6" ht="39.950000000000003" customHeight="1">
      <c r="A244" s="3"/>
      <c r="B244" s="3"/>
      <c r="C244" s="3"/>
      <c r="D244" s="3"/>
      <c r="E244" s="3"/>
      <c r="F244" s="3"/>
    </row>
    <row r="245" spans="1:6" ht="39.950000000000003" customHeight="1">
      <c r="A245" s="3"/>
      <c r="B245" s="3"/>
      <c r="C245" s="3"/>
      <c r="D245" s="3"/>
      <c r="E245" s="3"/>
      <c r="F245" s="3"/>
    </row>
    <row r="246" spans="1:6" ht="39.950000000000003" customHeight="1">
      <c r="A246" s="3"/>
      <c r="B246" s="3"/>
      <c r="C246" s="3"/>
      <c r="D246" s="3"/>
      <c r="E246" s="3"/>
      <c r="F246" s="3"/>
    </row>
  </sheetData>
  <autoFilter ref="A4:I204" xr:uid="{00000000-0009-0000-0000-000000000000}"/>
  <mergeCells count="16">
    <mergeCell ref="A1:Q1"/>
    <mergeCell ref="L6:Q6"/>
    <mergeCell ref="K3:Q3"/>
    <mergeCell ref="B214:D214"/>
    <mergeCell ref="A2:Q2"/>
    <mergeCell ref="A210:Q210"/>
    <mergeCell ref="L4:Q4"/>
    <mergeCell ref="A3:I3"/>
    <mergeCell ref="L8:Q8"/>
    <mergeCell ref="K11:Q28"/>
    <mergeCell ref="L7:Q7"/>
    <mergeCell ref="B213:D213"/>
    <mergeCell ref="G212:Q218"/>
    <mergeCell ref="L10:Q10"/>
    <mergeCell ref="L5:Q5"/>
    <mergeCell ref="B212:D2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V501"/>
  <sheetViews>
    <sheetView zoomScaleNormal="100" zoomScaleSheetLayoutView="100" workbookViewId="0">
      <pane ySplit="1" topLeftCell="A2" activePane="bottomLeft" state="frozen"/>
      <selection pane="bottomLeft" activeCell="G22" sqref="G22"/>
    </sheetView>
  </sheetViews>
  <sheetFormatPr defaultRowHeight="15" customHeight="1"/>
  <cols>
    <col min="1" max="1" width="12" style="1" customWidth="1"/>
    <col min="2" max="2" width="52" customWidth="1"/>
    <col min="3" max="3" width="18.28515625" style="35" customWidth="1"/>
    <col min="4" max="5" width="12" style="40" customWidth="1"/>
    <col min="6" max="6" width="14" customWidth="1"/>
    <col min="7" max="7" width="26" customWidth="1"/>
    <col min="8" max="8" width="28" customWidth="1"/>
    <col min="9" max="9" width="24" customWidth="1"/>
    <col min="10" max="10" width="12" customWidth="1"/>
    <col min="11" max="11" width="14" customWidth="1"/>
    <col min="12" max="13" width="22" customWidth="1"/>
    <col min="14" max="15" width="26" customWidth="1"/>
    <col min="16" max="16" width="20" customWidth="1"/>
    <col min="17" max="17" width="22" customWidth="1"/>
    <col min="18" max="18" width="50" style="6" customWidth="1"/>
    <col min="19" max="19" width="28" customWidth="1"/>
    <col min="20" max="20" width="14" customWidth="1"/>
    <col min="21" max="21" width="24" customWidth="1"/>
  </cols>
  <sheetData>
    <row r="1" spans="1:22" ht="24" customHeight="1">
      <c r="A1" s="9" t="s">
        <v>4</v>
      </c>
      <c r="B1" s="9" t="s">
        <v>8</v>
      </c>
      <c r="C1" s="9" t="s">
        <v>5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9</v>
      </c>
      <c r="J1" s="9" t="s">
        <v>44</v>
      </c>
      <c r="K1" s="9" t="s">
        <v>45</v>
      </c>
      <c r="L1" s="9" t="s">
        <v>46</v>
      </c>
      <c r="M1" s="9" t="s">
        <v>47</v>
      </c>
      <c r="N1" s="9" t="s">
        <v>48</v>
      </c>
      <c r="O1" s="9" t="s">
        <v>49</v>
      </c>
      <c r="P1" s="9" t="s">
        <v>50</v>
      </c>
      <c r="Q1" s="9" t="s">
        <v>51</v>
      </c>
      <c r="R1" s="9" t="s">
        <v>52</v>
      </c>
      <c r="S1" s="9" t="s">
        <v>53</v>
      </c>
      <c r="T1" s="9" t="s">
        <v>12</v>
      </c>
      <c r="U1" s="9" t="s">
        <v>54</v>
      </c>
      <c r="V1" s="30" t="s">
        <v>55</v>
      </c>
    </row>
    <row r="2" spans="1:22" ht="15" customHeight="1">
      <c r="A2" s="10" t="s">
        <v>56</v>
      </c>
      <c r="B2" s="23" t="s">
        <v>57</v>
      </c>
      <c r="C2" s="31">
        <v>46030</v>
      </c>
      <c r="D2" s="36">
        <v>0.33333333333333331</v>
      </c>
      <c r="E2" s="36">
        <v>0.70833333333333337</v>
      </c>
      <c r="F2" s="23" t="s">
        <v>58</v>
      </c>
      <c r="G2" s="23" t="s">
        <v>59</v>
      </c>
      <c r="H2" s="23" t="s">
        <v>60</v>
      </c>
      <c r="I2" s="23" t="s">
        <v>61</v>
      </c>
      <c r="J2" s="23" t="s">
        <v>62</v>
      </c>
      <c r="K2" s="23">
        <v>30</v>
      </c>
      <c r="L2" s="23" t="s">
        <v>63</v>
      </c>
      <c r="M2" s="23" t="s">
        <v>64</v>
      </c>
      <c r="N2" s="23" t="s">
        <v>65</v>
      </c>
      <c r="O2" s="23" t="s">
        <v>66</v>
      </c>
      <c r="P2" s="23" t="s">
        <v>67</v>
      </c>
      <c r="Q2" s="23" t="s">
        <v>68</v>
      </c>
      <c r="R2" s="10" t="str">
        <f>IF($L2&lt;&gt;"","Purpose"&amp;CHAR(10)&amp;$L2&amp;CHAR(10)&amp;CHAR(10),"" )&amp;"Stops (in order)"&amp;CHAR(10)&amp;$M2&amp;CHAR(10)&amp;CHAR(10)&amp;"To-Do (hard requirements)"&amp;CHAR(10)&amp;$N2&amp;CHAR(10)&amp;CHAR(10)&amp;"Suggested Timeline"&amp;CHAR(10)&amp;$O2&amp;CHAR(10)&amp;CHAR(10)&amp;"Guardrails"&amp;CHAR(10)&amp;$P2&amp;CHAR(10)&amp;CHAR(10)&amp;"Completion signals"&amp;CHAR(10)&amp;$Q2</f>
        <v>Purpose
Return universal key; configure and stage devices at HQ Plainview; prep for PBMC deployment; align counts with Khadejah.
Stops (in order)
1) 3HQ - Key drop with Ralph
2) HQ - Plainview - Device configuration + staging
3) PBMC - Deployment prep / readiness
To-Do (hard requirements)
- Contact Ralph first thing AM to coordinate key handoff.
- Drop off universal key to Ralph at 3HQ and confirm receipt.
- Head to HQ Plainview ASAP after key drop.
- Configure devices at HQ.
- Stage/pack for PBMC deployment.
- Sync with Khadejah on counts before deployment.
Suggested Timeline
- 8:00-8:15  Call/text Ralph; lock handoff details
- 8:15-9:00  3HQ key drop -&gt; confirm receipt
- 9:00-1:00  HQ Plainview: configure devices + verification checks
- 1:00-2:00  Staging/packout for PBMC
- 2:00-2:15  Sync w/ Khadejah: counts + plan
- 2:15+      Travel/prepare for PBMC window
Guardrails
- Do not accept extra add-ons without approval; log and escalate.
- If Tim is involved, confirm requirements in advance.
Completion signals
- Key returned to Ralph + time
- HQ config complete + device count
- PBMC staging complete + blockers
- Counts aligned with Khadejah + final count</v>
      </c>
      <c r="S2" s="23"/>
      <c r="T2" s="23" t="s">
        <v>69</v>
      </c>
      <c r="U2" s="11">
        <v>46030.318065046296</v>
      </c>
      <c r="V2" s="8" t="str">
        <f>_xlfn.SINGLE(IF($B2 = "", "", IF(_xlfn.SINGLE(_xlfn.TEXTJOIN(" | ", TRUE, IF($B2 = "", "Missing Title", ""), IF($C2 = "", "Missing Date", ""), IF($D2 = "", "Missing Start", ""), IF($E2 = "", "Missing End", ""), IF($G2 = "", "Missing Required Attendees", ""), IF($T2 = "", "Missing Status", ""), IF(AND($D2 &lt;&gt; "", $E2 &lt;&gt; "", $D2 &gt;= $E2), "Start&gt;=End", ""), IF(OR($R2 = "", LEN($R2) &lt; 60, ISNUMBER(MATCH(TRIM($R2), StatusList, 0))), "Body overwritten/short", ""))) = "", "OK", _xlfn.TEXTJOIN(" | ", TRUE, IF($B2 = "", "Missing Title", ""), IF($C2 = "", "Missing Date", ""), IF($D2 = "", "Missing Start", ""), IF($E2 = "", "Missing End", ""), IF($G2 = "", "Missing Required Attendees", ""), IF($T2 = "", "Missing Status", ""), IF(AND($D2 &lt;&gt; "", $E2 &lt;&gt; "", $D2 &gt;= $E2), "Start&gt;=End", ""), IF(OR($R2 = "", LEN($R2) &lt; 60, ISNUMBER(MATCH(TRIM($R2), StatusList, 0))), "Body overwritten/short", "")))))</f>
        <v>OK</v>
      </c>
    </row>
    <row r="3" spans="1:22" ht="15" customHeight="1">
      <c r="A3" s="12" t="s">
        <v>70</v>
      </c>
      <c r="B3" s="23" t="s">
        <v>71</v>
      </c>
      <c r="C3" s="32">
        <v>46030</v>
      </c>
      <c r="D3" s="37">
        <v>0.33333333333333331</v>
      </c>
      <c r="E3" s="37">
        <v>0.70833333333333337</v>
      </c>
      <c r="F3" s="24" t="s">
        <v>58</v>
      </c>
      <c r="G3" s="23" t="s">
        <v>72</v>
      </c>
      <c r="H3" s="23" t="s">
        <v>73</v>
      </c>
      <c r="I3" s="23" t="s">
        <v>74</v>
      </c>
      <c r="J3" s="24" t="s">
        <v>62</v>
      </c>
      <c r="K3" s="24">
        <v>30</v>
      </c>
      <c r="L3" s="23" t="s">
        <v>75</v>
      </c>
      <c r="M3" s="23" t="s">
        <v>76</v>
      </c>
      <c r="N3" s="23" t="s">
        <v>77</v>
      </c>
      <c r="O3" s="23" t="s">
        <v>78</v>
      </c>
      <c r="P3" s="23" t="s">
        <v>79</v>
      </c>
      <c r="Q3" s="23" t="s">
        <v>80</v>
      </c>
      <c r="R3" s="10" t="str">
        <f>IF($L3&lt;&gt;"","Purpose"&amp;CHAR(10)&amp;$L3&amp;CHAR(10)&amp;CHAR(10),"" )&amp;"Stops (in order)"&amp;CHAR(10)&amp;$M3&amp;CHAR(10)&amp;CHAR(10)&amp;"To-Do (hard requirements)"&amp;CHAR(10)&amp;$N3&amp;CHAR(10)&amp;CHAR(10)&amp;"Suggested Timeline"&amp;CHAR(10)&amp;$O3&amp;CHAR(10)&amp;CHAR(10)&amp;"Guardrails"&amp;CHAR(10)&amp;$P3&amp;CHAR(10)&amp;CHAR(10)&amp;"Completion signals"&amp;CHAR(10)&amp;$Q3</f>
        <v>Purpose
Establish reliable counts + exact locations for Neuron deployment stock across HQ and 1 Marcus (including pallets); consolidate into a single master counts interface; produce shortages/blockers + runway for upcoming sites; document the arm→Neuron attach process for reuse.
Stops (in order)
1) HQ - Sweep all staging areas + pallets; log counts + exact locations
2) 1 Marcus - Sweep stock; log counts + exact locations
3) Update Inventory Master - consolidate counts; tag conflicts; timestamp
4) Arm→Neuron attach - capture steps (photos/video) + notes
5) Send EOD summary (totals, shortages, runway, next steps)
To-Do (hard requirements)
- Record COUNT + EXACT LOCATION for each line item touched (no vague 'HQ').
- Use location format: [SITE] - [AREA] - [SUBAREA].
- Prioritize Neuron units + GCX arms first; then DIMs/adapters/KBM.
- Tag pallets with a PalletID (P-001, P-002...) and record their contents.
- No guessing: if a count conflicts, mark CONFLICT and note why.
- Keep everything in the master tracker (no side spreadsheets).
Suggested Timeline
- 8:00-10:30  HQ sweep (zones + pallets) + initial totals
- 10:30-12:30  1 Marcus sweep + totals
- 12:30-1:30   Update Inventory Master + reconcile conflicts
- 1:30-2:15    Arm→Neuron attach documentation (clean angles)
- 2:15-2:30    Send summary to Rich (HQ vs 1 Marcus totals + blockers + runway)
Guardrails
- Don’t move stock without updating location in the master.
- If something is missing/damaged/unknown, log it immediately and flag it.
- Keep photos clear; avoid capturing screens/labels not needed.
- If time runs short, finish Neurons + arms + pallet manifest first.
Completion signals
- Master counts updated with HQ vs 1 Marcus totals + exact locations.
- Pallets tagged + recorded (at least Neurons + arms per pallet).
- Shortages/blockers list captured.
- Arm→Neuron attach steps recorded + shared.
- EOD summary sent.</v>
      </c>
      <c r="S3" s="23"/>
      <c r="T3" s="24" t="s">
        <v>69</v>
      </c>
      <c r="U3" s="13">
        <v>46030.330351597222</v>
      </c>
      <c r="V3" s="8" t="str">
        <f>_xlfn.SINGLE(IF($B3 = "", "", IF(_xlfn.SINGLE(_xlfn.TEXTJOIN(" | ", TRUE, IF($B3 = "", "Missing Title", ""), IF($C3 = "", "Missing Date", ""), IF($D3 = "", "Missing Start", ""), IF($E3 = "", "Missing End", ""), IF($G3 = "", "Missing Required Attendees", ""), IF($T3 = "", "Missing Status", ""), IF(AND($D3 &lt;&gt; "", $E3 &lt;&gt; "", $D3 &gt;= $E3), "Start&gt;=End", ""), IF(OR($R3 = "", LEN($R3) &lt; 60, ISNUMBER(MATCH(TRIM($R3), StatusList, 0))), "Body overwritten/short", ""))) = "", "OK", _xlfn.TEXTJOIN(" | ", TRUE, IF($B3 = "", "Missing Title", ""), IF($C3 = "", "Missing Date", ""), IF($D3 = "", "Missing Start", ""), IF($E3 = "", "Missing End", ""), IF($G3 = "", "Missing Required Attendees", ""), IF($T3 = "", "Missing Status", ""), IF(AND($D3 &lt;&gt; "", $E3 &lt;&gt; "", $D3 &gt;= $E3), "Start&gt;=End", ""), IF(OR($R3 = "", LEN($R3) &lt; 60, ISNUMBER(MATCH(TRIM($R3), StatusList, 0))), "Body overwritten/short", "")))))</f>
        <v>OK</v>
      </c>
    </row>
    <row r="4" spans="1:22" ht="15" customHeight="1">
      <c r="A4" s="12" t="s">
        <v>81</v>
      </c>
      <c r="B4" s="23" t="s">
        <v>82</v>
      </c>
      <c r="C4" s="32">
        <v>46034</v>
      </c>
      <c r="D4" s="37">
        <v>0.375</v>
      </c>
      <c r="E4" s="37">
        <v>0.75</v>
      </c>
      <c r="F4" s="24" t="s">
        <v>58</v>
      </c>
      <c r="G4" s="23" t="s">
        <v>83</v>
      </c>
      <c r="H4" s="23" t="s">
        <v>84</v>
      </c>
      <c r="I4" s="23" t="s">
        <v>85</v>
      </c>
      <c r="J4" s="24" t="s">
        <v>62</v>
      </c>
      <c r="K4" s="24">
        <v>30</v>
      </c>
      <c r="L4" s="23" t="s">
        <v>86</v>
      </c>
      <c r="M4" s="23" t="s">
        <v>87</v>
      </c>
      <c r="N4" s="23" t="s">
        <v>88</v>
      </c>
      <c r="O4" s="23" t="s">
        <v>89</v>
      </c>
      <c r="P4" s="23" t="s">
        <v>90</v>
      </c>
      <c r="Q4" s="23" t="s">
        <v>91</v>
      </c>
      <c r="R4" s="10" t="s">
        <v>92</v>
      </c>
      <c r="S4" s="23"/>
      <c r="T4" s="24" t="s">
        <v>69</v>
      </c>
      <c r="U4" s="13">
        <v>46032.315276365742</v>
      </c>
      <c r="V4" s="8" t="str">
        <f>_xlfn.SINGLE(IF($B4 = "", "", IF(_xlfn.SINGLE(_xlfn.TEXTJOIN(" | ", TRUE, IF($B4 = "", "Missing Title", ""), IF($C4 = "", "Missing Date", ""), IF($D4 = "", "Missing Start", ""), IF($E4 = "", "Missing End", ""), IF($G4 = "", "Missing Required Attendees", ""), IF($T4 = "", "Missing Status", ""), IF(AND($D4 &lt;&gt; "", $E4 &lt;&gt; "", $D4 &gt;= $E4), "Start&gt;=End", ""), IF(OR($R4 = "", LEN($R4) &lt; 60, ISNUMBER(MATCH(TRIM($R4), StatusList, 0))), "Body overwritten/short", ""))) = "", "OK", _xlfn.TEXTJOIN(" | ", TRUE, IF($B4 = "", "Missing Title", ""), IF($C4 = "", "Missing Date", ""), IF($D4 = "", "Missing Start", ""), IF($E4 = "", "Missing End", ""), IF($G4 = "", "Missing Required Attendees", ""), IF($T4 = "", "Missing Status", ""), IF(AND($D4 &lt;&gt; "", $E4 &lt;&gt; "", $D4 &gt;= $E4), "Start&gt;=End", ""), IF(OR($R4 = "", LEN($R4) &lt; 60, ISNUMBER(MATCH(TRIM($R4), StatusList, 0))), "Body overwritten/short", "")))))</f>
        <v>OK</v>
      </c>
    </row>
    <row r="5" spans="1:22" ht="15" customHeight="1">
      <c r="A5" s="10" t="s">
        <v>93</v>
      </c>
      <c r="B5" s="23" t="s">
        <v>94</v>
      </c>
      <c r="C5" s="31">
        <v>46033</v>
      </c>
      <c r="D5" s="36">
        <v>0.33333333333333331</v>
      </c>
      <c r="E5" s="36">
        <v>0.70833333333333337</v>
      </c>
      <c r="F5" s="23" t="s">
        <v>58</v>
      </c>
      <c r="G5" s="23" t="s">
        <v>95</v>
      </c>
      <c r="H5" s="23" t="s">
        <v>96</v>
      </c>
      <c r="I5" s="23" t="s">
        <v>97</v>
      </c>
      <c r="J5" s="23" t="s">
        <v>62</v>
      </c>
      <c r="K5" s="23">
        <v>30</v>
      </c>
      <c r="L5" s="23" t="s">
        <v>98</v>
      </c>
      <c r="M5" s="23" t="s">
        <v>99</v>
      </c>
      <c r="N5" s="23" t="s">
        <v>100</v>
      </c>
      <c r="O5" s="23" t="s">
        <v>101</v>
      </c>
      <c r="P5" s="23" t="s">
        <v>102</v>
      </c>
      <c r="Q5" s="23" t="s">
        <v>103</v>
      </c>
      <c r="R5" s="10" t="str">
        <f>IF($L5&lt;&gt;"","Purpose"&amp;CHAR(10)&amp;$L5&amp;CHAR(10)&amp;CHAR(10),"" )&amp;"Stops (in order)"&amp;CHAR(10)&amp;$M5&amp;CHAR(10)&amp;CHAR(10)&amp;"To-Do (hard requirements)"&amp;CHAR(10)&amp;$N5&amp;CHAR(10)&amp;CHAR(10)&amp;"Suggested Timeline"&amp;CHAR(10)&amp;$O5&amp;CHAR(10)&amp;CHAR(10)&amp;"Guardrails"&amp;CHAR(10)&amp;$P5&amp;CHAR(10)&amp;CHAR(10)&amp;"Completion signals"&amp;CHAR(10)&amp;$Q5</f>
        <v>Purpose
Move the correct stock to LIJ SDF for Sunday’s work; keep staging controlled; pack out everything we bring in so LIJ SDF returns to pre-arrival condition. Key rule: 28 all around (28 capsules + 28 of each required cable/cord type).
Stops (in order)
1) Staging room (pull / count / organize)
2) Load vehicle
3) LIJ SDF (deliver staged stock)
4) End-of-day pack-out + close-out proof
To-Do (hard requirements)
• Confirm exact item list for Sunday (capsules + cables/cords + accessories)
• Pull &amp; stage: 28 capsules (7 boxes × 4)
• Pull &amp; stage: 28 Ethernet cables
• Pull &amp; stage: 28 power cords
• Pull &amp; stage: 28 of any other required cable/cord type (default to 28 unless PM specifies otherwise)
• HQ path: if mounts/arms are delivered separately, pack out all packaging + unused materials
• Keep stock orderly: stack by category; labels facing out; pallet jack accessible
• Keep walking/loading path clear (no loose cables/garbage)
• Take quick photo of staged load before moving out
• Load securely (heavy bottom; protect fragile; prevent shifting)
• Pack-out rules: remove all packaging created + all unused stock; keep device/capsule shipping boxes
• Damaged/questionable items: bag/tag + bring back (no trashing devices/cables)
• Final walk-through: floors clear; carts/pallets out; nothing left behind
Suggested Timeline
Before move:
• Stage by category, count to 28, photo the staged load
• Load + secure
At site / end-of-day:
• Pack out all packaging + unused stock
• Take 2 close-out photos: (1) empty staging footprint at LIJ SDF, (2) load-out/packed carts ready to leave
• Note any exceptions + who approved
Guardrails
“Disposal” = pack out everything we bring in so LIJ SDF is as it was before we arrived.
Trash/packaging only. Never devices/cables. Keep device/capsule shipping boxes.
Do not leave extra stock behind unless explicitly approved; document approvals.
Completion signals
• 28-count confirmed for capsules + each cable/cord type
• Staged-load photo captured
• Site packed out (no trash/packaging left) + 2 close-out photos taken
• Any exceptions documented with approver</v>
      </c>
      <c r="S5" s="23"/>
      <c r="T5" s="23" t="s">
        <v>69</v>
      </c>
      <c r="U5" s="11">
        <v>46032.367832361109</v>
      </c>
      <c r="V5" s="8" t="str">
        <f>_xlfn.SINGLE(IF($B5 = "", "", IF(_xlfn.SINGLE(_xlfn.TEXTJOIN(" | ", TRUE, IF($B5 = "", "Missing Title", ""), IF($C5 = "", "Missing Date", ""), IF($D5 = "", "Missing Start", ""), IF($E5 = "", "Missing End", ""), IF($G5 = "", "Missing Required Attendees", ""), IF($T5 = "", "Missing Status", ""), IF(AND($D5 &lt;&gt; "", $E5 &lt;&gt; "", $D5 &gt;= $E5), "Start&gt;=End", ""), IF(OR($R5 = "", LEN($R5) &lt; 60, ISNUMBER(MATCH(TRIM($R5), StatusList, 0))), "Body overwritten/short", ""))) = "", "OK", _xlfn.TEXTJOIN(" | ", TRUE, IF($B5 = "", "Missing Title", ""), IF($C5 = "", "Missing Date", ""), IF($D5 = "", "Missing Start", ""), IF($E5 = "", "Missing End", ""), IF($G5 = "", "Missing Required Attendees", ""), IF($T5 = "", "Missing Status", ""), IF(AND($D5 &lt;&gt; "", $E5 &lt;&gt; "", $D5 &gt;= $E5), "Start&gt;=End", ""), IF(OR($R5 = "", LEN($R5) &lt; 60, ISNUMBER(MATCH(TRIM($R5), StatusList, 0))), "Body overwritten/short", "")))))</f>
        <v>OK</v>
      </c>
    </row>
    <row r="6" spans="1:22" ht="15" customHeight="1">
      <c r="A6" s="12" t="str">
        <f>IF(AND($B6&lt;&gt;"",$C6&lt;&gt;"",$D6&lt;&gt;"",$E6&lt;&gt;"",$G6&lt;&gt;""),
UPPER(
LEFT(TRIM(LEFT($G6,IFERROR(FIND(";",$G6)-1,999))),1)&amp;
IFERROR(
MID(TRIM(LEFT($G6,IFERROR(FIND(";",$G6)-1,999))),
FIND(" ",TRIM(LEFT($G6,IFERROR(FIND(";",$G6)-1,999))))+1,1),
MID(TRIM(LEFT($G6,IFERROR(FIND(";",$G6)-1,999))),2,1)
)
)&amp;"-"&amp;TEXT($C6,"yyyy-mm-dd"),
"")</f>
        <v>PM-2026-01-19</v>
      </c>
      <c r="B6" s="25" t="s">
        <v>104</v>
      </c>
      <c r="C6" s="31">
        <v>46041</v>
      </c>
      <c r="D6" s="36">
        <v>0.375</v>
      </c>
      <c r="E6" s="36">
        <v>0.75</v>
      </c>
      <c r="F6" s="25" t="s">
        <v>58</v>
      </c>
      <c r="G6" s="25" t="s">
        <v>105</v>
      </c>
      <c r="H6" s="25" t="s">
        <v>106</v>
      </c>
      <c r="I6" s="25" t="s">
        <v>107</v>
      </c>
      <c r="J6" s="25"/>
      <c r="K6" s="25"/>
      <c r="L6" s="26" t="s">
        <v>108</v>
      </c>
      <c r="M6" s="26" t="s">
        <v>109</v>
      </c>
      <c r="N6" s="26" t="s">
        <v>110</v>
      </c>
      <c r="O6" s="25" t="s">
        <v>111</v>
      </c>
      <c r="P6" s="27" t="s">
        <v>112</v>
      </c>
      <c r="Q6" s="26" t="s">
        <v>113</v>
      </c>
      <c r="R6" s="14" t="str">
        <f>IF($L6&lt;&gt;"","Purpose "&amp;CHAR(10)&amp;$L6&amp;CHAR(10)&amp;CHAR(10),"")&amp;
IF($M6&lt;&gt;"","Stops (in order) "&amp;CHAR(10)&amp;$M6&amp;CHAR(10)&amp;CHAR(10),"")&amp;
IF($N6&lt;&gt;"","To-Do (hard requirements) "&amp;CHAR(10)&amp;$N6&amp;CHAR(10)&amp;CHAR(10),"")&amp;
IF($O6&lt;&gt;"","Suggested Timeline "&amp;CHAR(10)&amp;$O6&amp;CHAR(10)&amp;CHAR(10),"")&amp;
IF($P6&lt;&gt;"","Guardrails "&amp;CHAR(10)&amp;$P6&amp;CHAR(10)&amp;CHAR(10),"")&amp;
IF($Q6&lt;&gt;"","Completion signals "&amp;CHAR(10)&amp;$Q6,"")</f>
        <v>Purpose 
• Train on iPhones and Mobile Devices
• Avoid conflicts with other projects, particularly TOW
• Increase the Volume and Integrity of Coverage in the Westchester area 
Stops (in order) 
• LHH and the Northern Westchester Area
• Clarify with Mentors
To-Do (hard requirements) 
• Correspond with Mentors
• Train under mentors
• Establish sites to cover with Eman, Connor, and Clifford
Suggested Timeline 
Recurring until Friday, Feb 6
Guardrails 
• No conflicts with DSE and TOW
• Avoid TOW and DSE conflicts
Completion signals 
• No conflicts with DSE and TOW
• Correspondence with Mentors in Effect
• Training log updated with updated knowledge gaps</v>
      </c>
      <c r="S6" s="25"/>
      <c r="T6" s="25"/>
      <c r="U6" s="8"/>
      <c r="V6" s="8" t="str">
        <f>_xlfn.SINGLE(IF($B6 = "", "", IF(_xlfn.SINGLE(_xlfn.TEXTJOIN(" | ", TRUE, IF($B6 = "", "Missing Title", ""), IF($C6 = "", "Missing Date", ""), IF($D6 = "", "Missing Start", ""), IF($E6 = "", "Missing End", ""), IF($G6 = "", "Missing Required Attendees", ""), IF($T6 = "", "Missing Status", ""), IF(AND($D6 &lt;&gt; "", $E6 &lt;&gt; "", $D6 &gt;= $E6), "Start&gt;=End", ""), IF(OR($R6 = "", LEN($R6) &lt; 60, ISNUMBER(MATCH(TRIM($R6), StatusList, 0))), "Body overwritten/short", ""))) = "", "OK", _xlfn.TEXTJOIN(" | ", TRUE, IF($B6 = "", "Missing Title", ""), IF($C6 = "", "Missing Date", ""), IF($D6 = "", "Missing Start", ""), IF($E6 = "", "Missing End", ""), IF($G6 = "", "Missing Required Attendees", ""), IF($T6 = "", "Missing Status", ""), IF(AND($D6 &lt;&gt; "", $E6 &lt;&gt; "", $D6 &gt;= $E6), "Start&gt;=End", ""), IF(OR($R6 = "", LEN($R6) &lt; 60, ISNUMBER(MATCH(TRIM($R6), StatusList, 0))), "Body overwritten/short", "")))))</f>
        <v>Missing Status</v>
      </c>
    </row>
    <row r="7" spans="1:22" ht="15" customHeight="1">
      <c r="A7" s="12" t="str">
        <f>IF(AND($B7&lt;&gt;"",$C7&lt;&gt;"",$D7&lt;&gt;"",$E7&lt;&gt;"",$G7&lt;&gt;""),
UPPER(
LEFT(TRIM(LEFT($G7,IFERROR(FIND(";",$G7)-1,999))),1)&amp;
IFERROR(
MID(TRIM(LEFT($G7,IFERROR(FIND(";",$G7)-1,999))),
FIND(" ",TRIM(LEFT($G7,IFERROR(FIND(";",$G7)-1,999))))+1,1),
MID(TRIM(LEFT($G7,IFERROR(FIND(";",$G7)-1,999))),2,1)
)
)&amp;"-"&amp;TEXT($C7,"yyyy-mm-dd"),
"")</f>
        <v>MT-2026-01-21</v>
      </c>
      <c r="B7" s="25" t="s">
        <v>114</v>
      </c>
      <c r="C7" s="31">
        <v>46043</v>
      </c>
      <c r="D7" s="36">
        <v>0.375</v>
      </c>
      <c r="E7" s="36">
        <v>0.45833333333333331</v>
      </c>
      <c r="F7" s="25" t="s">
        <v>58</v>
      </c>
      <c r="G7" s="25" t="s">
        <v>95</v>
      </c>
      <c r="H7" s="25" t="s">
        <v>96</v>
      </c>
      <c r="I7" s="25" t="s">
        <v>115</v>
      </c>
      <c r="J7" s="25" t="s">
        <v>62</v>
      </c>
      <c r="K7" s="25">
        <v>30</v>
      </c>
      <c r="L7" s="26" t="s">
        <v>116</v>
      </c>
      <c r="M7" s="26" t="s">
        <v>117</v>
      </c>
      <c r="N7" s="26" t="s">
        <v>118</v>
      </c>
      <c r="O7" s="25" t="s">
        <v>119</v>
      </c>
      <c r="P7" s="27" t="s">
        <v>120</v>
      </c>
      <c r="Q7" s="26" t="s">
        <v>121</v>
      </c>
      <c r="R7" s="14" t="str">
        <f>IF($L7&lt;&gt;"","Purpose "&amp;CHAR(10)&amp;$L7&amp;CHAR(10)&amp;CHAR(10),"")&amp;
IF($M7&lt;&gt;"","Stops (in order) "&amp;CHAR(10)&amp;$M7&amp;CHAR(10)&amp;CHAR(10),"")&amp;
IF($N7&lt;&gt;"","To-Do (hard requirements) "&amp;CHAR(10)&amp;$N7&amp;CHAR(10)&amp;CHAR(10),"")&amp;
IF($O7&lt;&gt;"","Suggested Timeline "&amp;CHAR(10)&amp;$O7&amp;CHAR(10)&amp;CHAR(10),"")&amp;
IF($P7&lt;&gt;"","Guardrails "&amp;CHAR(10)&amp;$P7&amp;CHAR(10)&amp;CHAR(10),"")&amp;
IF($Q7&lt;&gt;"","Completion signals "&amp;CHAR(10)&amp;$Q7,"")</f>
        <v>Purpose 
Deliver critical MEETH stock (QTY 2 each) and confirm clean handoff so the site can proceed without delays.
Stops (in order) 
1) HQ stock room / staging (pull + verify)
2) Load vehicle (secure)
3) MEETH (deliver + handoff)
4) Return / close-out (update counts + note exceptions)
To-Do (hard requirements) 
☐ Pick up required items directly from Geoff Gerber
☐ Verify all five SKUs are present (2 each)
☐ Keep items grouped and labeled for MEETH
☐ Photo staged items before loading
☐ Coordinate onsite handoff; record recipient name/area
☐ Photo delivery/handoff confirmation
☐ If missing/damaged: bag/tag + escalate immediately
• Pull + verify the following stock (QTY 2 each):
  • B1-CPAT-DIM-14 — 2
  • DIM — 2
  • B1-CFU — 2
  • SPEC999015 — 2
  • GE-ADAPTOR — 2
• Keep items grouped + labeled for MEETH (no mixed piles)
• Take a quick photo of the staged items before loading (proof + reference)
• Coordinate onsite handoff (recipient name/area) and confirm delivery complete
• If anything is missing/damaged: bag/tag and escalate immediately (do not substitute silently)
Suggested Timeline 
Before departure: pull + verify + photo.
At MEETH: handoff + confirm recipient.
After: update tracker / notes with any exceptions.
Guardrails 
This is a controlled delivery. No improvising part substitutions without approval. Keep packaging tidy; prevent damage in transit.
Completion signals 
All five SKUs delivered (2 each), recipient confirmed, and staging/delivery photo captured. Exceptions logged if any.</v>
      </c>
      <c r="S7" s="25"/>
      <c r="T7" s="25" t="s">
        <v>69</v>
      </c>
      <c r="U7" s="15">
        <v>46042.5</v>
      </c>
      <c r="V7" s="8" t="str">
        <f>_xlfn.SINGLE(IF($B7 = "", "", IF(_xlfn.SINGLE(_xlfn.TEXTJOIN(" | ", TRUE, IF($B7 = "", "Missing Title", ""), IF($C7 = "", "Missing Date", ""), IF($D7 = "", "Missing Start", ""), IF($E7 = "", "Missing End", ""), IF($G7 = "", "Missing Required Attendees", ""), IF($T7 = "", "Missing Status", ""), IF(AND($D7 &lt;&gt; "", $E7 &lt;&gt; "", $D7 &gt;= $E7), "Start&gt;=End", ""), IF(OR($R7 = "", LEN($R7) &lt; 60, ISNUMBER(MATCH(TRIM($R7), StatusList, 0))), "Body overwritten/short", ""))) = "", "OK", _xlfn.TEXTJOIN(" | ", TRUE, IF($B7 = "", "Missing Title", ""), IF($C7 = "", "Missing Date", ""), IF($D7 = "", "Missing Start", ""), IF($E7 = "", "Missing End", ""), IF($G7 = "", "Missing Required Attendees", ""), IF($T7 = "", "Missing Status", ""), IF(AND($D7 &lt;&gt; "", $E7 &lt;&gt; "", $D7 &gt;= $E7), "Start&gt;=End", ""), IF(OR($R7 = "", LEN($R7) &lt; 60, ISNUMBER(MATCH(TRIM($R7), StatusList, 0))), "Body overwritten/short", "")))))</f>
        <v>OK</v>
      </c>
    </row>
    <row r="8" spans="1:22" ht="15" customHeight="1">
      <c r="A8" s="12" t="str">
        <f>IF(AND($B8&lt;&gt;"",$C8&lt;&gt;"",$D8&lt;&gt;"",$E8&lt;&gt;"",$G8&lt;&gt;""),
UPPER(
LEFT(TRIM(LEFT($G8,IFERROR(FIND(";",$G8)-1,999))),1)&amp;
IFERROR(
MID(TRIM(LEFT($G8,IFERROR(FIND(";",$G8)-1,999))),
FIND(" ",TRIM(LEFT($G8,IFERROR(FIND(";",$G8)-1,999))))+1,1),
MID(TRIM(LEFT($G8,IFERROR(FIND(";",$G8)-1,999))),2,1)
)
)&amp;"-"&amp;TEXT($C8,"yyyy-mm-dd"),
"")</f>
        <v>KH-2026-01-27</v>
      </c>
      <c r="B8" s="25" t="s">
        <v>122</v>
      </c>
      <c r="C8" s="32">
        <v>46049</v>
      </c>
      <c r="D8" s="38">
        <v>0.375</v>
      </c>
      <c r="E8" s="38">
        <v>0.625</v>
      </c>
      <c r="F8" s="25" t="s">
        <v>58</v>
      </c>
      <c r="G8" s="25" t="s">
        <v>123</v>
      </c>
      <c r="H8" s="25" t="s">
        <v>124</v>
      </c>
      <c r="I8" s="25" t="s">
        <v>125</v>
      </c>
      <c r="J8" s="25" t="s">
        <v>62</v>
      </c>
      <c r="K8" s="25">
        <v>30</v>
      </c>
      <c r="L8" s="25" t="s">
        <v>126</v>
      </c>
      <c r="M8" s="25" t="s">
        <v>127</v>
      </c>
      <c r="N8" s="25" t="s">
        <v>128</v>
      </c>
      <c r="O8" s="25" t="s">
        <v>129</v>
      </c>
      <c r="P8" s="25" t="s">
        <v>130</v>
      </c>
      <c r="Q8" s="25" t="s">
        <v>131</v>
      </c>
      <c r="R8" s="14" t="str">
        <f>IF($L8&lt;&gt;"","Purpose "&amp;CHAR(10)&amp;$L8&amp;CHAR(10)&amp;CHAR(10),"")&amp;
IF($M8&lt;&gt;"","Stops (in order) "&amp;CHAR(10)&amp;$M8&amp;CHAR(10)&amp;CHAR(10),"")&amp;
IF($N8&lt;&gt;"","To-Do (hard requirements) "&amp;CHAR(10)&amp;$N8&amp;CHAR(10)&amp;CHAR(10),"")&amp;
IF($O8&lt;&gt;"","Suggested Timeline "&amp;CHAR(10)&amp;$O8&amp;CHAR(10)&amp;CHAR(10),"")&amp;
IF($P8&lt;&gt;"","Guardrails "&amp;CHAR(10)&amp;$P8&amp;CHAR(10)&amp;CHAR(10),"")&amp;
IF($Q8&lt;&gt;"","Completion signals "&amp;CHAR(10)&amp;$Q8,"")</f>
        <v>Purpose 
Install and validate 9 wired keyboard/mouse sets, 9 badge access readers, and 9 barcode scanners; connect all peripherals to the Cybernet in OR and Endo.
Stops (in order) 
1) 3HQ (as needed): confirm delivery/availability of 9 cables for Glen Cove | 2) Glen Cove — OR: install/connect/test peripherals on Cybernet | 3) Glen Cove — Endo: install/connect/test peripherals on Cybernet | 4) Close-out: photos (no PHI) + confirm counts + send completion note
To-Do (hard requirements) 
Verify inventory (9 KB+Mouse, 9 Badge Readers, 9 Barcode Scanners; plus 9 cables if applicable) | Install + connect to correct Cybernet(s) in OR &amp; Endo | Test: keyboard/mouse input, badge read, barcode scan | Escalate blockers immediately (ports/driver/access) | No silent substitutions
Suggested Timeline 
Before: confirm stock/cables at 3HQ if needed | Onsite: OR first, then Endo | End: confirm with site POC + send completion update
Guardrails 
No PHI in photos | Keep cabling tidy/secured | Same-day escalation on blockers; coordinate access with site IT as needed
Completion signals 
All 27 peripherals installed + tested in OR/Endo | Exceptions logged with owner/next step | Completion update sent</v>
      </c>
      <c r="S8" s="25"/>
      <c r="T8" s="25"/>
      <c r="U8" s="8"/>
      <c r="V8" s="8" t="str">
        <f>_xlfn.SINGLE(IF($B8 = "", "", IF(_xlfn.SINGLE(_xlfn.TEXTJOIN(" | ", TRUE, IF($B8 = "", "Missing Title", ""), IF($C8 = "", "Missing Date", ""), IF($D8 = "", "Missing Start", ""), IF($E8 = "", "Missing End", ""), IF($G8 = "", "Missing Required Attendees", ""), IF($T8 = "", "Missing Status", ""), IF(AND($D8 &lt;&gt; "", $E8 &lt;&gt; "", $D8 &gt;= $E8), "Start&gt;=End", ""), IF(OR($R8 = "", LEN($R8) &lt; 60, ISNUMBER(MATCH(TRIM($R8), StatusList, 0))), "Body overwritten/short", ""))) = "", "OK", _xlfn.TEXTJOIN(" | ", TRUE, IF($B8 = "", "Missing Title", ""), IF($C8 = "", "Missing Date", ""), IF($D8 = "", "Missing Start", ""), IF($E8 = "", "Missing End", ""), IF($G8 = "", "Missing Required Attendees", ""), IF($T8 = "", "Missing Status", ""), IF(AND($D8 &lt;&gt; "", $E8 &lt;&gt; "", $D8 &gt;= $E8), "Start&gt;=End", ""), IF(OR($R8 = "", LEN($R8) &lt; 60, ISNUMBER(MATCH(TRIM($R8), StatusList, 0))), "Body overwritten/short", "")))))</f>
        <v>Missing Status</v>
      </c>
    </row>
    <row r="9" spans="1:22" ht="15" customHeight="1">
      <c r="A9" s="12" t="str">
        <f>IF(AND($B9&lt;&gt;"",$C9&lt;&gt;"",$D9&lt;&gt;"",$E9&lt;&gt;"",$G9&lt;&gt;""),
UPPER(
LEFT(TRIM(LEFT($G9,IFERROR(FIND(";",$G9)-1,999))),1)&amp;
IFERROR(
MID(TRIM(LEFT($G9,IFERROR(FIND(";",$G9)-1,999))),
FIND(" ",TRIM(LEFT($G9,IFERROR(FIND(";",$G9)-1,999))))+1,1),
MID(TRIM(LEFT($G9,IFERROR(FIND(";",$G9)-1,999))),2,1)
)
)&amp;"-"&amp;TEXT($C9,"yyyy-mm-dd"),
"")</f>
        <v>KH-2026-01-27</v>
      </c>
      <c r="B9" s="25" t="s">
        <v>122</v>
      </c>
      <c r="C9" s="32">
        <v>46049</v>
      </c>
      <c r="D9" s="38">
        <v>0.375</v>
      </c>
      <c r="E9" s="38">
        <v>0.625</v>
      </c>
      <c r="F9" s="25" t="s">
        <v>58</v>
      </c>
      <c r="G9" s="25" t="s">
        <v>123</v>
      </c>
      <c r="H9" s="25" t="s">
        <v>124</v>
      </c>
      <c r="I9" s="25" t="s">
        <v>125</v>
      </c>
      <c r="J9" s="25" t="s">
        <v>62</v>
      </c>
      <c r="K9" s="25">
        <v>30</v>
      </c>
      <c r="L9" s="25" t="s">
        <v>126</v>
      </c>
      <c r="M9" s="25" t="s">
        <v>127</v>
      </c>
      <c r="N9" s="25" t="s">
        <v>128</v>
      </c>
      <c r="O9" s="25" t="s">
        <v>129</v>
      </c>
      <c r="P9" s="25" t="s">
        <v>130</v>
      </c>
      <c r="Q9" s="25" t="s">
        <v>131</v>
      </c>
      <c r="R9" s="8" t="str">
        <f>IF($L9&lt;&gt;"","Purpose "&amp;CHAR(10)&amp;$L9&amp;CHAR(10)&amp;CHAR(10),"")&amp;
IF($M9&lt;&gt;"","Stops (in order) "&amp;CHAR(10)&amp;$M9&amp;CHAR(10)&amp;CHAR(10),"")&amp;
IF($N9&lt;&gt;"","To-Do (hard requirements) "&amp;CHAR(10)&amp;$N9&amp;CHAR(10)&amp;CHAR(10),"")&amp;
IF($O9&lt;&gt;"","Suggested Timeline "&amp;CHAR(10)&amp;$O9&amp;CHAR(10)&amp;CHAR(10),"")&amp;
IF($P9&lt;&gt;"","Guardrails "&amp;CHAR(10)&amp;$P9&amp;CHAR(10)&amp;CHAR(10),"")&amp;
IF($Q9&lt;&gt;"","Completion signals "&amp;CHAR(10)&amp;$Q9,"")</f>
        <v>Purpose 
Install and validate 9 wired keyboard/mouse sets, 9 badge access readers, and 9 barcode scanners; connect all peripherals to the Cybernet in OR and Endo.
Stops (in order) 
1) 3HQ (as needed): confirm delivery/availability of 9 cables for Glen Cove | 2) Glen Cove — OR: install/connect/test peripherals on Cybernet | 3) Glen Cove — Endo: install/connect/test peripherals on Cybernet | 4) Close-out: photos (no PHI) + confirm counts + send completion note
To-Do (hard requirements) 
Verify inventory (9 KB+Mouse, 9 Badge Readers, 9 Barcode Scanners; plus 9 cables if applicable) | Install + connect to correct Cybernet(s) in OR &amp; Endo | Test: keyboard/mouse input, badge read, barcode scan | Escalate blockers immediately (ports/driver/access) | No silent substitutions
Suggested Timeline 
Before: confirm stock/cables at 3HQ if needed | Onsite: OR first, then Endo | End: confirm with site POC + send completion update
Guardrails 
No PHI in photos | Keep cabling tidy/secured | Same-day escalation on blockers; coordinate access with site IT as needed
Completion signals 
All 27 peripherals installed + tested in OR/Endo | Exceptions logged with owner/next step | Completion update sent</v>
      </c>
      <c r="S9" s="25" t="s">
        <v>69</v>
      </c>
      <c r="T9" s="25"/>
      <c r="U9" s="15">
        <v>46047.5</v>
      </c>
      <c r="V9" s="8" t="str">
        <f>_xlfn.SINGLE(IF($B9 = "", "", IF(_xlfn.SINGLE(_xlfn.TEXTJOIN(" | ", TRUE, IF($B9 = "", "Missing Title", ""), IF($C9 = "", "Missing Date", ""), IF($D9 = "", "Missing Start", ""), IF($E9 = "", "Missing End", ""), IF($G9 = "", "Missing Required Attendees", ""), IF($T9 = "", "Missing Status", ""), IF(AND($D9 &lt;&gt; "", $E9 &lt;&gt; "", $D9 &gt;= $E9), "Start&gt;=End", ""), IF(OR($R9 = "", LEN($R9) &lt; 60, ISNUMBER(MATCH(TRIM($R9), StatusList, 0))), "Body overwritten/short", ""))) = "", "OK", _xlfn.TEXTJOIN(" | ", TRUE, IF($B9 = "", "Missing Title", ""), IF($C9 = "", "Missing Date", ""), IF($D9 = "", "Missing Start", ""), IF($E9 = "", "Missing End", ""), IF($G9 = "", "Missing Required Attendees", ""), IF($T9 = "", "Missing Status", ""), IF(AND($D9 &lt;&gt; "", $E9 &lt;&gt; "", $D9 &gt;= $E9), "Start&gt;=End", ""), IF(OR($R9 = "", LEN($R9) &lt; 60, ISNUMBER(MATCH(TRIM($R9), StatusList, 0))), "Body overwritten/short", "")))))</f>
        <v>Missing Status</v>
      </c>
    </row>
    <row r="10" spans="1:22" ht="15" customHeight="1">
      <c r="A10" s="12" t="str">
        <f>IF(AND($B10&lt;&gt;"",$C10&lt;&gt;"",$D10&lt;&gt;"",$E10&lt;&gt;"",$G10&lt;&gt;""),
UPPER(
LEFT(TRIM(LEFT($G10,IFERROR(FIND(";",$G10)-1,999))),1)&amp;
IFERROR(
MID(TRIM(LEFT($G10,IFERROR(FIND(";",$G10)-1,999))),
FIND(" ",TRIM(LEFT($G10,IFERROR(FIND(";",$G10)-1,999))))+1,1),
MID(TRIM(LEFT($G10,IFERROR(FIND(";",$G10)-1,999))),2,1)
)
)&amp;"-"&amp;TEXT($C10,"yyyy-mm-dd"),
"")</f>
        <v>GG-2026-01-30</v>
      </c>
      <c r="B10" s="28" t="s">
        <v>132</v>
      </c>
      <c r="C10" s="33">
        <v>46052</v>
      </c>
      <c r="D10" s="39">
        <v>0.375</v>
      </c>
      <c r="E10" s="39">
        <v>0.70833333333333337</v>
      </c>
      <c r="F10" s="28" t="s">
        <v>58</v>
      </c>
      <c r="G10" s="28" t="s">
        <v>133</v>
      </c>
      <c r="H10" s="28" t="s">
        <v>134</v>
      </c>
      <c r="I10" s="28" t="s">
        <v>135</v>
      </c>
      <c r="J10" s="28" t="s">
        <v>62</v>
      </c>
      <c r="K10" s="28">
        <v>30</v>
      </c>
      <c r="L10" s="28" t="s">
        <v>136</v>
      </c>
      <c r="M10" s="28" t="s">
        <v>137</v>
      </c>
      <c r="N10" s="28" t="s">
        <v>138</v>
      </c>
      <c r="O10" s="28" t="s">
        <v>139</v>
      </c>
      <c r="P10" s="28" t="s">
        <v>140</v>
      </c>
      <c r="Q10" s="28" t="s">
        <v>141</v>
      </c>
      <c r="R10" s="16" t="str">
        <f>IF($L10&lt;&gt;"","Purpose "&amp;CHAR(10)&amp;$L10&amp;CHAR(10)&amp;CHAR(10),"")&amp;
IF($M10&lt;&gt;"","Stops (in order) "&amp;CHAR(10)&amp;$M10&amp;CHAR(10)&amp;CHAR(10),"")&amp;
IF($N10&lt;&gt;"","To-Do (hard requirements) "&amp;CHAR(10)&amp;$N10&amp;CHAR(10)&amp;CHAR(10),"")&amp;
IF($O10&lt;&gt;"","Suggested Timeline "&amp;CHAR(10)&amp;$O10&amp;CHAR(10)&amp;CHAR(10),"")&amp;
IF($P10&lt;&gt;"","Guardrails "&amp;CHAR(10)&amp;$P10&amp;CHAR(10)&amp;CHAR(10),"")&amp;
IF($Q10&lt;&gt;"","Completion signals "&amp;CHAR(10)&amp;$Q10,"")</f>
        <v>Purpose 
Deploy Cybernets and provide all-day go-live support. Client paid for 1 senior tech (Geoff) with 1 shadow tech (Chris Cummings). Stock: Geoff to have 2 Cybernets. iPad: already delivered last Friday.
Stops (in order) 
1) HQ/warehouse (if needed): pull/verify 2 Cybernets for Geoff (asset tags/serials recorded). 2) Client site: confirm iPad onsite, deploy Cybernets, provide go-live support all day. 3) End-of-day: document issues + send completion note.
To-Do (hard requirements) 
• Geoff must have 2 Cybernets ready for deployment • iPad is already onsite (verify on arrival) • Chris shadows Geoff the full day • Log go-live issues + escalate blockers immediately
Suggested Timeline 
AM: arrival + verify iPad + deploy Cybernets. Midday: stabilize + support go-live flow. PM: mop-up issues + handoff + send summary.
Guardrails 
No PHI in notes/photos. No silent substitutions. Escalate blockers same-day and document owners/next steps.
Completion signals 
2 Cybernets deployed/validated. Go-live support delivered all day. Issues/next steps logged. Completion update sent.</v>
      </c>
      <c r="S10" s="25"/>
      <c r="T10" s="25"/>
      <c r="U10" s="15">
        <v>46051.5</v>
      </c>
      <c r="V10" s="8" t="str">
        <f>_xlfn.SINGLE(IF($B10 = "", "", IF(_xlfn.SINGLE(_xlfn.TEXTJOIN(" | ", TRUE, IF($B10 = "", "Missing Title", ""), IF($C10 = "", "Missing Date", ""), IF($D10 = "", "Missing Start", ""), IF($E10 = "", "Missing End", ""), IF($G10 = "", "Missing Required Attendees", ""), IF($T10 = "", "Missing Status", ""), IF(AND($D10 &lt;&gt; "", $E10 &lt;&gt; "", $D10 &gt;= $E10), "Start&gt;=End", ""), IF(OR($R10 = "", LEN($R10) &lt; 60, ISNUMBER(MATCH(TRIM($R10), StatusList, 0))), "Body overwritten/short", ""))) = "", "OK", _xlfn.TEXTJOIN(" | ", TRUE, IF($B10 = "", "Missing Title", ""), IF($C10 = "", "Missing Date", ""), IF($D10 = "", "Missing Start", ""), IF($E10 = "", "Missing End", ""), IF($G10 = "", "Missing Required Attendees", ""), IF($T10 = "", "Missing Status", ""), IF(AND($D10 &lt;&gt; "", $E10 &lt;&gt; "", $D10 &gt;= $E10), "Start&gt;=End", ""), IF(OR($R10 = "", LEN($R10) &lt; 60, ISNUMBER(MATCH(TRIM($R10), StatusList, 0))), "Body overwritten/short", "")))))</f>
        <v>Missing Status</v>
      </c>
    </row>
    <row r="11" spans="1:22" ht="15" customHeight="1">
      <c r="A11" s="12" t="str">
        <f>IF(AND($B11&lt;&gt;"",$C11&lt;&gt;"",$D11&lt;&gt;"",$E11&lt;&gt;"",$G11&lt;&gt;""),
UPPER(
LEFT(TRIM(LEFT($G11,IFERROR(FIND(";",$G11)-1,999))),1)&amp;
IFERROR(
MID(TRIM(LEFT($G11,IFERROR(FIND(";",$G11)-1,999))),
FIND(" ",TRIM(LEFT($G11,IFERROR(FIND(";",$G11)-1,999))))+1,1),
MID(TRIM(LEFT($G11,IFERROR(FIND(";",$G11)-1,999))),2,1)
)
)&amp;"-"&amp;TEXT($C11,"yyyy-mm-dd"),
"")</f>
        <v>AA-2026-02-07</v>
      </c>
      <c r="B11" s="25" t="s">
        <v>142</v>
      </c>
      <c r="C11" s="34">
        <v>46060</v>
      </c>
      <c r="D11" s="38">
        <v>0.375</v>
      </c>
      <c r="E11" s="38">
        <v>0.70833333333333337</v>
      </c>
      <c r="F11" s="25" t="s">
        <v>58</v>
      </c>
      <c r="G11" s="25" t="s">
        <v>143</v>
      </c>
      <c r="H11" s="25" t="s">
        <v>105</v>
      </c>
      <c r="I11" s="25" t="s">
        <v>144</v>
      </c>
      <c r="J11" s="25" t="s">
        <v>62</v>
      </c>
      <c r="K11" s="25">
        <v>30</v>
      </c>
      <c r="L11" s="25" t="s">
        <v>145</v>
      </c>
      <c r="M11" s="25" t="s">
        <v>146</v>
      </c>
      <c r="N11" s="25" t="s">
        <v>147</v>
      </c>
      <c r="O11" s="25" t="s">
        <v>148</v>
      </c>
      <c r="P11" s="25" t="s">
        <v>149</v>
      </c>
      <c r="Q11" s="25" t="s">
        <v>150</v>
      </c>
      <c r="R11" s="16" t="str">
        <f>IF($L11&lt;&gt;"","Purpose "&amp;CHAR(10)&amp;$L11&amp;CHAR(10)&amp;CHAR(10),"")&amp;
IF($M11&lt;&gt;"","Stops (in order) "&amp;CHAR(10)&amp;$M11&amp;CHAR(10)&amp;CHAR(10),"")&amp;
IF($N11&lt;&gt;"","To-Do (hard requirements) "&amp;CHAR(10)&amp;$N11&amp;CHAR(10)&amp;CHAR(10),"")&amp;
IF($O11&lt;&gt;"","Suggested Timeline "&amp;CHAR(10)&amp;$O11&amp;CHAR(10)&amp;CHAR(10),"")&amp;
IF($P11&lt;&gt;"","Guardrails "&amp;CHAR(10)&amp;$P11&amp;CHAR(10)&amp;CHAR(10),"")&amp;
IF($Q11&lt;&gt;"","Completion signals "&amp;CHAR(10)&amp;$Q11,"")</f>
        <v>Purpose 
Extra deployment coverage at CFAM to complete the work in one day (9–5). Focus: throughput, troubleshooting, and clean handoff.
Stops (in order) 
1) 09:00 kickoff + scope check; 2) Stage devices + verify ready state; 3) Deploy + validate as you go; 4) Triage issues + escalate blockers fast; 5) 16:30 final sweep + handoff notes; 6) 17:00 exit
To-Do (hard requirements) 
Full 9–5 coverage; keep tracker updates current; call out blockers early; document exceptions; leave the site clean.
Suggested Timeline 
09:00 kickoff; 09:15 staging; 10:00 deployments rolling; 15:30 start final sweep; 16:30 handoff notes; 17:00 wrap
Guardrails 
No improvising scope changes; escalate access/permissions immediately; protect clinical areas; keep footprint minimal; avoid bottlenecks by working in parallel.
Completion signals 
All assigned devices deployed + validated; exceptions logged with owner/next step; handoff notes sent same day.</v>
      </c>
      <c r="S11" s="25"/>
      <c r="T11" s="25" t="s">
        <v>69</v>
      </c>
      <c r="U11" s="41">
        <v>46053</v>
      </c>
      <c r="V11" s="8" t="str">
        <f>_xlfn.SINGLE(IF($B11 = "", "", IF(_xlfn.SINGLE(_xlfn.TEXTJOIN(" | ", TRUE, IF($B11 = "", "Missing Title", ""), IF($C11 = "", "Missing Date", ""), IF($D11 = "", "Missing Start", ""), IF($E11 = "", "Missing End", ""), IF($G11 = "", "Missing Required Attendees", ""), IF($T11 = "", "Missing Status", ""), IF(AND($D11 &lt;&gt; "", $E11 &lt;&gt; "", $D11 &gt;= $E11), "Start&gt;=End", ""), IF(OR($R11 = "", LEN($R11) &lt; 60, ISNUMBER(MATCH(TRIM($R11), StatusList, 0))), "Body overwritten/short", ""))) = "", "OK", _xlfn.TEXTJOIN(" | ", TRUE, IF($B11 = "", "Missing Title", ""), IF($C11 = "", "Missing Date", ""), IF($D11 = "", "Missing Start", ""), IF($E11 = "", "Missing End", ""), IF($G11 = "", "Missing Required Attendees", ""), IF($T11 = "", "Missing Status", ""), IF(AND($D11 &lt;&gt; "", $E11 &lt;&gt; "", $D11 &gt;= $E11), "Start&gt;=End", ""), IF(OR($R11 = "", LEN($R11) &lt; 60, ISNUMBER(MATCH(TRIM($R11), StatusList, 0))), "Body overwritten/short", "")))))</f>
        <v>OK</v>
      </c>
    </row>
    <row r="12" spans="1:22" ht="15" customHeight="1">
      <c r="A12" s="12" t="str">
        <f>IF(AND($B12&lt;&gt;"",$C12&lt;&gt;"",$D12&lt;&gt;"",$E12&lt;&gt;"",$G12&lt;&gt;""),
UPPER(
LEFT(TRIM(LEFT($G12,IFERROR(FIND(";",$G12)-1,999))),1)&amp;
IFERROR(
MID(TRIM(LEFT($G12,IFERROR(FIND(";",$G12)-1,999))),
FIND(" ",TRIM(LEFT($G12,IFERROR(FIND(";",$G12)-1,999))))+1,1),
MID(TRIM(LEFT($G12,IFERROR(FIND(";",$G12)-1,999))),2,1)
)
)&amp;"-"&amp;TEXT($C12,"yyyy-mm-dd"),
"")</f>
        <v>KH-2026-02-09</v>
      </c>
      <c r="B12" s="25" t="s">
        <v>151</v>
      </c>
      <c r="C12" s="32">
        <v>46062</v>
      </c>
      <c r="D12" s="38">
        <v>0.45833333333333331</v>
      </c>
      <c r="E12" s="38">
        <v>0.54166666666666663</v>
      </c>
      <c r="F12" s="25" t="s">
        <v>58</v>
      </c>
      <c r="G12" s="25" t="s">
        <v>72</v>
      </c>
      <c r="H12" s="25"/>
      <c r="I12" s="25" t="s">
        <v>152</v>
      </c>
      <c r="J12" s="25" t="s">
        <v>62</v>
      </c>
      <c r="K12" s="25">
        <v>30</v>
      </c>
      <c r="L12" s="25" t="s">
        <v>153</v>
      </c>
      <c r="M12" s="25" t="s">
        <v>154</v>
      </c>
      <c r="N12" s="25" t="s">
        <v>155</v>
      </c>
      <c r="O12" s="25" t="s">
        <v>156</v>
      </c>
      <c r="P12" s="25" t="s">
        <v>157</v>
      </c>
      <c r="Q12" s="25" t="s">
        <v>158</v>
      </c>
      <c r="R12" s="16" t="str">
        <f>IF($L12&lt;&gt;"","Purpose "&amp;CHAR(10)&amp;$L12&amp;CHAR(10)&amp;CHAR(10),"")&amp;
IF($M12&lt;&gt;"","Stops (in order) "&amp;CHAR(10)&amp;$M12&amp;CHAR(10)&amp;CHAR(10),"")&amp;
IF($N12&lt;&gt;"","To-Do (hard requirements) "&amp;CHAR(10)&amp;$N12&amp;CHAR(10)&amp;CHAR(10),"")&amp;
IF($O12&lt;&gt;"","Suggested Timeline "&amp;CHAR(10)&amp;$O12&amp;CHAR(10)&amp;CHAR(10),"")&amp;
IF($P12&lt;&gt;"","Guardrails "&amp;CHAR(10)&amp;$P12&amp;CHAR(10)&amp;CHAR(10),"")&amp;
IF($Q12&lt;&gt;"","Completion signals "&amp;CHAR(10)&amp;$Q12,"")</f>
        <v>Purpose 
Oversee testing support at LIJ SDF (testing window 12:00-1:00) and capture outcomes; relay up to 25 x 25-ft Cat6 cables if requested.
Stops (in order) 
1) Check in with site POC + confirm testing station(s) | 2) Observe testing (12:00-1:00) + capture pass/fail/issues | 3) If requested: pull/relay 25 x 25-ft Cat6 to designated drop location | 4) Send completion note (testing results + any cable relay details)
To-Do (hard requirements) 
Arrive by 11:00 for setup/coordination | Document testing results (what passed/failed + owner/next step) | If Cat6 relay happens: verify count (25) and record destination | No PHI in notes/photos | Escalate blockers same-day
Suggested Timeline 
11:00 arrive + scope check | 12:00 testing start | 12:45 pre-wrap + confirm any cable request | 13:00 wrap + send update
Guardrails 
Keep footprint minimal in clinical areas | No PHI in notes/photos | If asked to move cables, confirm receiver + drop location before transport | Escalate access/permissions immediately
Completion signals 
Testing observed and results captured | Issues logged with owner/next step | If Cat6 relay requested: count + destination documented | Completion update sent</v>
      </c>
      <c r="S12" s="25"/>
      <c r="T12" s="25" t="s">
        <v>69</v>
      </c>
      <c r="U12" s="41">
        <v>46062</v>
      </c>
      <c r="V12" s="8" t="str">
        <f>_xlfn.SINGLE(IF($B12 = "", "", IF(_xlfn.SINGLE(_xlfn.TEXTJOIN(" | ", TRUE, IF($B12 = "", "Missing Title", ""), IF($C12 = "", "Missing Date", ""), IF($D12 = "", "Missing Start", ""), IF($E12 = "", "Missing End", ""), IF($G12 = "", "Missing Required Attendees", ""), IF($T12 = "", "Missing Status", ""), IF(AND($D12 &lt;&gt; "", $E12 &lt;&gt; "", $D12 &gt;= $E12), "Start&gt;=End", ""), IF(OR($R12 = "", LEN($R12) &lt; 60, ISNUMBER(MATCH(TRIM($R12), StatusList, 0))), "Body overwritten/short", ""))) = "", "OK", _xlfn.TEXTJOIN(" | ", TRUE, IF($B12 = "", "Missing Title", ""), IF($C12 = "", "Missing Date", ""), IF($D12 = "", "Missing Start", ""), IF($E12 = "", "Missing End", ""), IF($G12 = "", "Missing Required Attendees", ""), IF($T12 = "", "Missing Status", ""), IF(AND($D12 &lt;&gt; "", $E12 &lt;&gt; "", $D12 &gt;= $E12), "Start&gt;=End", ""), IF(OR($R12 = "", LEN($R12) &lt; 60, ISNUMBER(MATCH(TRIM($R12), StatusList, 0))), "Body overwritten/short", "")))))</f>
        <v>OK</v>
      </c>
    </row>
    <row r="13" spans="1:22" ht="15" customHeight="1">
      <c r="A13" s="12" t="str">
        <f>IF(AND($B13&lt;&gt;"",$C13&lt;&gt;"",$D13&lt;&gt;"",$E13&lt;&gt;"",$G13&lt;&gt;""),
UPPER(
LEFT(TRIM(LEFT($G13,IFERROR(FIND(";",$G13)-1,999))),1)&amp;
IFERROR(
MID(TRIM(LEFT($G13,IFERROR(FIND(";",$G13)-1,999))),
FIND(" ",TRIM(LEFT($G13,IFERROR(FIND(";",$G13)-1,999))))+1,1),
MID(TRIM(LEFT($G13,IFERROR(FIND(";",$G13)-1,999))),2,1)
)
)&amp;"-"&amp;TEXT($C13,"yyyy-mm-dd"),
"")</f>
        <v>MT-2026-02-09</v>
      </c>
      <c r="B13" s="25" t="s">
        <v>159</v>
      </c>
      <c r="C13" s="32">
        <v>46062</v>
      </c>
      <c r="D13" s="38">
        <v>0.70833333333333337</v>
      </c>
      <c r="E13" s="38">
        <v>0.83333333333333337</v>
      </c>
      <c r="F13" s="25" t="s">
        <v>58</v>
      </c>
      <c r="G13" s="25" t="s">
        <v>160</v>
      </c>
      <c r="H13" s="25"/>
      <c r="I13" s="25" t="s">
        <v>161</v>
      </c>
      <c r="J13" s="25" t="s">
        <v>62</v>
      </c>
      <c r="K13" s="25">
        <v>30</v>
      </c>
      <c r="L13" s="25" t="s">
        <v>162</v>
      </c>
      <c r="M13" s="25" t="s">
        <v>163</v>
      </c>
      <c r="N13" s="25" t="s">
        <v>164</v>
      </c>
      <c r="O13" s="25" t="s">
        <v>165</v>
      </c>
      <c r="P13" s="25" t="s">
        <v>166</v>
      </c>
      <c r="Q13" s="25" t="s">
        <v>167</v>
      </c>
      <c r="R13" s="16" t="str">
        <f>IF($L13&lt;&gt;"","Purpose "&amp;CHAR(10)&amp;$L13&amp;CHAR(10)&amp;CHAR(10),"")&amp;
IF($M13&lt;&gt;"","Stops (in order) "&amp;CHAR(10)&amp;$M13&amp;CHAR(10)&amp;CHAR(10),"")&amp;
IF($N13&lt;&gt;"","To-Do (hard requirements) "&amp;CHAR(10)&amp;$N13&amp;CHAR(10)&amp;CHAR(10),"")&amp;
IF($O13&lt;&gt;"","Suggested Timeline "&amp;CHAR(10)&amp;$O13&amp;CHAR(10)&amp;CHAR(10),"")&amp;
IF($P13&lt;&gt;"","Guardrails "&amp;CHAR(10)&amp;$P13&amp;CHAR(10)&amp;CHAR(10),"")&amp;
IF($Q13&lt;&gt;"","Completion signals "&amp;CHAR(10)&amp;$Q13,"")</f>
        <v>Purpose 
Deploy and validate 10 peripherals (barcode scanner(s), badge scanner(s), mouse, keyboard) at Franklin Hospital Valley Stream.
Stops (in order) 
1) Check in + confirm target stations/rooms | 2) Stage peripherals + verify total count (10) | 3) Install/connect + functional test each unit as you go | 4) Label/asset-tag as required | 5) Close-out: confirm counts + document placements/exceptions + send completion note
To-Do (hard requirements) 
Verify inventory count before leaving/onsite (10 total) | Test each peripheral immediately (badge read, barcode scan, keyboard/mouse input) | Keep cabling tidy | Log exceptions with owner/next step | No silent substitutions
Suggested Timeline 
17:00 kickoff + station list | 17:15 staging | 17:30 installs rolling | 19:30 final sweep + issue triage | 20:00 wrap + send update (end time may flex if needed)
Guardrails 
No PHI in notes/photos | Escalate port/driver/access blockers immediately | Keep footprint minimal and area clean | Avoid half-finished stations; finish and validate before moving on
Completion signals 
10 peripherals installed + tested | Exceptions logged with owner/next step | Completion update sent</v>
      </c>
      <c r="S13" s="25"/>
      <c r="T13" s="25"/>
      <c r="U13" s="8"/>
      <c r="V13" s="8" t="str">
        <f>_xlfn.SINGLE(IF($B13 = "", "", IF(_xlfn.SINGLE(_xlfn.TEXTJOIN(" | ", TRUE, IF($B13 = "", "Missing Title", ""), IF($C13 = "", "Missing Date", ""), IF($D13 = "", "Missing Start", ""), IF($E13 = "", "Missing End", ""), IF($G13 = "", "Missing Required Attendees", ""), IF($T13 = "", "Missing Status", ""), IF(AND($D13 &lt;&gt; "", $E13 &lt;&gt; "", $D13 &gt;= $E13), "Start&gt;=End", ""), IF(OR($R13 = "", LEN($R13) &lt; 60, ISNUMBER(MATCH(TRIM($R13), StatusList, 0))), "Body overwritten/short", ""))) = "", "OK", _xlfn.TEXTJOIN(" | ", TRUE, IF($B13 = "", "Missing Title", ""), IF($C13 = "", "Missing Date", ""), IF($D13 = "", "Missing Start", ""), IF($E13 = "", "Missing End", ""), IF($G13 = "", "Missing Required Attendees", ""), IF($T13 = "", "Missing Status", ""), IF(AND($D13 &lt;&gt; "", $E13 &lt;&gt; "", $D13 &gt;= $E13), "Start&gt;=End", ""), IF(OR($R13 = "", LEN($R13) &lt; 60, ISNUMBER(MATCH(TRIM($R13), StatusList, 0))), "Body overwritten/short", "")))))</f>
        <v>Missing Status</v>
      </c>
    </row>
    <row r="14" spans="1:22" ht="15" customHeight="1">
      <c r="A14" s="12" t="str">
        <f>IF(AND($B14&lt;&gt;"",$C14&lt;&gt;"",$D14&lt;&gt;"",$E14&lt;&gt;"",$G14&lt;&gt;""),
UPPER(
LEFT(TRIM(LEFT($G14,IFERROR(FIND(";",$G14)-1,999))),1)&amp;
IFERROR(
MID(TRIM(LEFT($G14,IFERROR(FIND(";",$G14)-1,999))),
FIND(" ",TRIM(LEFT($G14,IFERROR(FIND(";",$G14)-1,999))))+1,1),
MID(TRIM(LEFT($G14,IFERROR(FIND(";",$G14)-1,999))),2,1)
)
)&amp;"-"&amp;TEXT($C14,"yyyy-mm-dd"),
"")</f>
        <v/>
      </c>
      <c r="B14" s="25" t="s">
        <v>168</v>
      </c>
      <c r="C14" s="32">
        <v>46062</v>
      </c>
      <c r="D14" s="38"/>
      <c r="E14" s="38"/>
      <c r="F14" s="25" t="s">
        <v>58</v>
      </c>
      <c r="G14" s="25" t="s">
        <v>169</v>
      </c>
      <c r="H14" s="25" t="s">
        <v>170</v>
      </c>
      <c r="I14" s="25" t="s">
        <v>171</v>
      </c>
      <c r="J14" s="25" t="s">
        <v>62</v>
      </c>
      <c r="K14" s="25">
        <v>15</v>
      </c>
      <c r="L14" s="25" t="s">
        <v>172</v>
      </c>
      <c r="M14" s="25"/>
      <c r="N14" s="25"/>
      <c r="O14" s="25"/>
      <c r="P14" s="25"/>
      <c r="Q14" s="25"/>
      <c r="R14" s="16" t="str">
        <f>IF($L14&lt;&gt;"","Purpose "&amp;CHAR(10)&amp;$L14&amp;CHAR(10)&amp;CHAR(10),"")&amp;
IF($M14&lt;&gt;"","Stops (in order) "&amp;CHAR(10)&amp;$M14&amp;CHAR(10)&amp;CHAR(10),"")&amp;
IF($N14&lt;&gt;"","To-Do (hard requirements) "&amp;CHAR(10)&amp;$N14&amp;CHAR(10)&amp;CHAR(10),"")&amp;
IF($O14&lt;&gt;"","Suggested Timeline "&amp;CHAR(10)&amp;$O14&amp;CHAR(10)&amp;CHAR(10),"")&amp;
IF($P14&lt;&gt;"","Guardrails "&amp;CHAR(10)&amp;$P14&amp;CHAR(10)&amp;CHAR(10),"")&amp;
IF($Q14&lt;&gt;"","Completion signals "&amp;CHAR(10)&amp;$Q14,"")</f>
        <v xml:space="preserve">Purpose 
Device Integration install/testing. Standard deployment kit applies. Endo MX550 requires MIB card (confirm qty).
</v>
      </c>
      <c r="S14" s="25"/>
      <c r="T14" s="25"/>
      <c r="U14" s="8"/>
      <c r="V14" s="8" t="str">
        <f>_xlfn.SINGLE(IF($B14 = "", "", IF(_xlfn.SINGLE(_xlfn.TEXTJOIN(" | ", TRUE, IF($B14 = "", "Missing Title", ""), IF($C14 = "", "Missing Date", ""), IF($D14 = "", "Missing Start", ""), IF($E14 = "", "Missing End", ""), IF($G14 = "", "Missing Required Attendees", ""), IF($T14 = "", "Missing Status", ""), IF(AND($D14 &lt;&gt; "", $E14 &lt;&gt; "", $D14 &gt;= $E14), "Start&gt;=End", ""), IF(OR($R14 = "", LEN($R14) &lt; 60, ISNUMBER(MATCH(TRIM($R14), StatusList, 0))), "Body overwritten/short", ""))) = "", "OK", _xlfn.TEXTJOIN(" | ", TRUE, IF($B14 = "", "Missing Title", ""), IF($C14 = "", "Missing Date", ""), IF($D14 = "", "Missing Start", ""), IF($E14 = "", "Missing End", ""), IF($G14 = "", "Missing Required Attendees", ""), IF($T14 = "", "Missing Status", ""), IF(AND($D14 &lt;&gt; "", $E14 &lt;&gt; "", $D14 &gt;= $E14), "Start&gt;=End", ""), IF(OR($R14 = "", LEN($R14) &lt; 60, ISNUMBER(MATCH(TRIM($R14), StatusList, 0))), "Body overwritten/short", "")))))</f>
        <v>Missing Start | Missing End | Missing Status</v>
      </c>
    </row>
    <row r="15" spans="1:22" ht="15" customHeight="1">
      <c r="A15" s="12" t="str">
        <f>IF(AND($B15&lt;&gt;"",$C15&lt;&gt;"",$D15&lt;&gt;"",$E15&lt;&gt;"",$G15&lt;&gt;""),
UPPER(
LEFT(TRIM(LEFT($G15,IFERROR(FIND(";",$G15)-1,999))),1)&amp;
IFERROR(
MID(TRIM(LEFT($G15,IFERROR(FIND(";",$G15)-1,999))),
FIND(" ",TRIM(LEFT($G15,IFERROR(FIND(";",$G15)-1,999))))+1,1),
MID(TRIM(LEFT($G15,IFERROR(FIND(";",$G15)-1,999))),2,1)
)
)&amp;"-"&amp;TEXT($C15,"yyyy-mm-dd"),
"")</f>
        <v>AP-2026-02-14</v>
      </c>
      <c r="B15" s="25" t="s">
        <v>173</v>
      </c>
      <c r="C15" s="32">
        <v>46067</v>
      </c>
      <c r="D15" s="38">
        <v>0.33333333333333331</v>
      </c>
      <c r="E15" s="38">
        <v>0.75</v>
      </c>
      <c r="F15" s="25" t="s">
        <v>58</v>
      </c>
      <c r="G15" s="25" t="s">
        <v>174</v>
      </c>
      <c r="H15" s="25" t="s">
        <v>175</v>
      </c>
      <c r="I15" s="25" t="s">
        <v>176</v>
      </c>
      <c r="J15" s="25" t="s">
        <v>62</v>
      </c>
      <c r="K15" s="25">
        <v>15</v>
      </c>
      <c r="L15" s="25" t="s">
        <v>177</v>
      </c>
      <c r="M15" s="25" t="s">
        <v>178</v>
      </c>
      <c r="N15" s="26" t="s">
        <v>179</v>
      </c>
      <c r="O15" s="25"/>
      <c r="P15" s="25" t="s">
        <v>180</v>
      </c>
      <c r="Q15" s="25" t="s">
        <v>181</v>
      </c>
      <c r="R15" s="16" t="str">
        <f>IF($L15&lt;&gt;"","Purpose "&amp;CHAR(10)&amp;$L15&amp;CHAR(10)&amp;CHAR(10),"")&amp;
IF($M15&lt;&gt;"","Stops (in order) "&amp;CHAR(10)&amp;$M15&amp;CHAR(10)&amp;CHAR(10),"")&amp;
IF($N15&lt;&gt;"","To-Do (hard requirements) "&amp;CHAR(10)&amp;$N15&amp;CHAR(10)&amp;CHAR(10),"")&amp;
IF($O15&lt;&gt;"","Suggested Timeline "&amp;CHAR(10)&amp;$O15&amp;CHAR(10)&amp;CHAR(10),"")&amp;
IF($P15&lt;&gt;"","Guardrails "&amp;CHAR(10)&amp;$P15&amp;CHAR(10)&amp;CHAR(10),"")&amp;
IF($Q15&lt;&gt;"","Completion signals "&amp;CHAR(10)&amp;$Q15,"")</f>
        <v>Purpose 
Deploy 14 Cybernets at CCMC (ONE location) with GCX arms + peripherals; complete iPro installs and OU/group alignment.
Stops (in order) 
1) Stage 14 Cybernets + peripherals + GCX arms  2) Confirm ONE location with site POC  3) Remove/replace legacy PCs as needed  4) Install GCX arms + mount Cybernets  5) Install iPro  6) Apply OU/group alignment  7) Validate badge + barcode + connectivity  8) Label/cable-manage  9) Clean-up + prep disposal pile
To-Do (hard requirements) 
• 14 Anesthesia Machines Upgraded with New Cybernets &amp; Peripherals
• 14 Anesthesia Machine Deployments Documented in the tracker
• Clarify the disposal path with Tim (1 Marcus until they give us permission to discard or allocate somewhere)
Guardrails 
• Activate PA Creds ahead of deployment
Completion signals 
Devices Documented and Tested</v>
      </c>
      <c r="S15" s="25"/>
      <c r="T15" s="25"/>
      <c r="U15" s="8"/>
      <c r="V15" s="8" t="str">
        <f>_xlfn.SINGLE(IF($B15 = "", "", IF(_xlfn.SINGLE(_xlfn.TEXTJOIN(" | ", TRUE, IF($B15 = "", "Missing Title", ""), IF($C15 = "", "Missing Date", ""), IF($D15 = "", "Missing Start", ""), IF($E15 = "", "Missing End", ""), IF($G15 = "", "Missing Required Attendees", ""), IF($T15 = "", "Missing Status", ""), IF(AND($D15 &lt;&gt; "", $E15 &lt;&gt; "", $D15 &gt;= $E15), "Start&gt;=End", ""), IF(OR($R15 = "", LEN($R15) &lt; 60, ISNUMBER(MATCH(TRIM($R15), StatusList, 0))), "Body overwritten/short", ""))) = "", "OK", _xlfn.TEXTJOIN(" | ", TRUE, IF($B15 = "", "Missing Title", ""), IF($C15 = "", "Missing Date", ""), IF($D15 = "", "Missing Start", ""), IF($E15 = "", "Missing End", ""), IF($G15 = "", "Missing Required Attendees", ""), IF($T15 = "", "Missing Status", ""), IF(AND($D15 &lt;&gt; "", $E15 &lt;&gt; "", $D15 &gt;= $E15), "Start&gt;=End", ""), IF(OR($R15 = "", LEN($R15) &lt; 60, ISNUMBER(MATCH(TRIM($R15), StatusList, 0))), "Body overwritten/short", "")))))</f>
        <v>Missing Status</v>
      </c>
    </row>
    <row r="16" spans="1:22" ht="15" customHeight="1">
      <c r="A16" s="12" t="str">
        <f>IF(AND($B16&lt;&gt;"",$C16&lt;&gt;"",$D16&lt;&gt;"",$E16&lt;&gt;"",$G16&lt;&gt;""),
UPPER(
LEFT(TRIM(LEFT($G16,IFERROR(FIND(";",$G16)-1,999))),1)&amp;
IFERROR(
MID(TRIM(LEFT($G16,IFERROR(FIND(";",$G16)-1,999))),
FIND(" ",TRIM(LEFT($G16,IFERROR(FIND(";",$G16)-1,999))))+1,1),
MID(TRIM(LEFT($G16,IFERROR(FIND(";",$G16)-1,999))),2,1)
)
)&amp;"-"&amp;TEXT($C16,"yyyy-mm-dd"),
"")</f>
        <v>MT-2026-02-13</v>
      </c>
      <c r="B16" s="25" t="s">
        <v>182</v>
      </c>
      <c r="C16" s="32">
        <v>46066</v>
      </c>
      <c r="D16" s="38">
        <v>0.5</v>
      </c>
      <c r="E16" s="38">
        <v>0.66666666666666663</v>
      </c>
      <c r="F16" s="25" t="s">
        <v>58</v>
      </c>
      <c r="G16" s="25" t="s">
        <v>95</v>
      </c>
      <c r="H16" s="25" t="s">
        <v>183</v>
      </c>
      <c r="I16" s="25" t="s">
        <v>184</v>
      </c>
      <c r="J16" s="25" t="s">
        <v>62</v>
      </c>
      <c r="K16" s="25">
        <v>15</v>
      </c>
      <c r="L16" s="25" t="s">
        <v>185</v>
      </c>
      <c r="M16" s="25"/>
      <c r="N16" s="25" t="s">
        <v>186</v>
      </c>
      <c r="O16" s="25"/>
      <c r="P16" s="25"/>
      <c r="Q16" s="25"/>
      <c r="R16" s="16" t="str">
        <f>IF($L16&lt;&gt;"","Purpose "&amp;CHAR(10)&amp;$L16&amp;CHAR(10)&amp;CHAR(10),"")&amp;
IF($M16&lt;&gt;"","Stops (in order) "&amp;CHAR(10)&amp;$M16&amp;CHAR(10)&amp;CHAR(10),"")&amp;
IF($N16&lt;&gt;"","To-Do (hard requirements) "&amp;CHAR(10)&amp;$N16&amp;CHAR(10)&amp;CHAR(10),"")&amp;
IF($O16&lt;&gt;"","Suggested Timeline "&amp;CHAR(10)&amp;$O16&amp;CHAR(10)&amp;CHAR(10),"")&amp;
IF($P16&lt;&gt;"","Guardrails "&amp;CHAR(10)&amp;$P16&amp;CHAR(10)&amp;CHAR(10),"")&amp;
IF($Q16&lt;&gt;"","Completion signals "&amp;CHAR(10)&amp;$Q16,"")</f>
        <v xml:space="preserve">Purpose 
Deliver 13 Cybernets + peripherals from HQ to CCMC. Confirm staging location and handoff POC on arrival.
To-Do (hard requirements) 
Confirm vehicle/transport; confirm receiving contact; confirm inventory count (14).
</v>
      </c>
      <c r="S16" s="25"/>
      <c r="T16" s="25"/>
      <c r="U16" s="8"/>
      <c r="V16" s="8" t="str">
        <f>_xlfn.SINGLE(IF($B16 = "", "", IF(_xlfn.SINGLE(_xlfn.TEXTJOIN(" | ", TRUE, IF($B16 = "", "Missing Title", ""), IF($C16 = "", "Missing Date", ""), IF($D16 = "", "Missing Start", ""), IF($E16 = "", "Missing End", ""), IF($G16 = "", "Missing Required Attendees", ""), IF($T16 = "", "Missing Status", ""), IF(AND($D16 &lt;&gt; "", $E16 &lt;&gt; "", $D16 &gt;= $E16), "Start&gt;=End", ""), IF(OR($R16 = "", LEN($R16) &lt; 60, ISNUMBER(MATCH(TRIM($R16), StatusList, 0))), "Body overwritten/short", ""))) = "", "OK", _xlfn.TEXTJOIN(" | ", TRUE, IF($B16 = "", "Missing Title", ""), IF($C16 = "", "Missing Date", ""), IF($D16 = "", "Missing Start", ""), IF($E16 = "", "Missing End", ""), IF($G16 = "", "Missing Required Attendees", ""), IF($T16 = "", "Missing Status", ""), IF(AND($D16 &lt;&gt; "", $E16 &lt;&gt; "", $D16 &gt;= $E16), "Start&gt;=End", ""), IF(OR($R16 = "", LEN($R16) &lt; 60, ISNUMBER(MATCH(TRIM($R16), StatusList, 0))), "Body overwritten/short", "")))))</f>
        <v>Missing Status</v>
      </c>
    </row>
    <row r="17" spans="1:22" ht="15" customHeight="1">
      <c r="A17" s="12" t="str">
        <f>IF(AND($B17&lt;&gt;"",$C17&lt;&gt;"",$D17&lt;&gt;"",$E17&lt;&gt;"",$G17&lt;&gt;""),
UPPER(
LEFT(TRIM(LEFT($G17,IFERROR(FIND(";",$G17)-1,999))),1)&amp;
IFERROR(
MID(TRIM(LEFT($G17,IFERROR(FIND(";",$G17)-1,999))),
FIND(" ",TRIM(LEFT($G17,IFERROR(FIND(";",$G17)-1,999))))+1,1),
MID(TRIM(LEFT($G17,IFERROR(FIND(";",$G17)-1,999))),2,1)
)
)&amp;"-"&amp;TEXT($C17,"yyyy-mm-dd"),
"")</f>
        <v>MT-2026-02-14</v>
      </c>
      <c r="B17" s="25" t="s">
        <v>187</v>
      </c>
      <c r="C17" s="34">
        <v>46067</v>
      </c>
      <c r="D17" s="38">
        <v>0.58333333333333337</v>
      </c>
      <c r="E17" s="38">
        <v>0.75</v>
      </c>
      <c r="F17" s="25" t="s">
        <v>58</v>
      </c>
      <c r="G17" s="25" t="s">
        <v>95</v>
      </c>
      <c r="H17" s="25" t="s">
        <v>175</v>
      </c>
      <c r="I17" s="25" t="s">
        <v>176</v>
      </c>
      <c r="J17" s="25" t="s">
        <v>62</v>
      </c>
      <c r="K17" s="25">
        <v>15</v>
      </c>
      <c r="L17" s="25" t="s">
        <v>188</v>
      </c>
      <c r="M17" s="25" t="s">
        <v>189</v>
      </c>
      <c r="N17" s="26" t="s">
        <v>190</v>
      </c>
      <c r="O17" s="25"/>
      <c r="P17" s="25" t="s">
        <v>180</v>
      </c>
      <c r="Q17" s="25" t="s">
        <v>191</v>
      </c>
      <c r="R17" s="16" t="str">
        <f>IF($L17&lt;&gt;"","Purpose "&amp;CHAR(10)&amp;$L17&amp;CHAR(10)&amp;CHAR(10),"")&amp;
IF($M17&lt;&gt;"","Stops (in order) "&amp;CHAR(10)&amp;$M17&amp;CHAR(10)&amp;CHAR(10),"")&amp;
IF($N17&lt;&gt;"","To-Do (hard requirements) "&amp;CHAR(10)&amp;$N17&amp;CHAR(10)&amp;CHAR(10),"")&amp;
IF($O17&lt;&gt;"","Suggested Timeline "&amp;CHAR(10)&amp;$O17&amp;CHAR(10)&amp;CHAR(10),"")&amp;
IF($P17&lt;&gt;"","Guardrails "&amp;CHAR(10)&amp;$P17&amp;CHAR(10)&amp;CHAR(10),"")&amp;
IF($Q17&lt;&gt;"","Completion signals "&amp;CHAR(10)&amp;$Q17,"")</f>
        <v>Purpose 
Dispose of all deployment-related materials at CCMC: existing PCs, existing PC arms, and all boxes/trash from newly deployed equipment.
Stops (in order) 
1) Identify disposal area + confirm with site POC  2) Remove existing PCs  3) Remove existing arms  4) Consolidate all boxes/trash from new gear  5) Dispose per site process  6) Confirm area left clean + take quick photo evidence (optional)
To-Do (hard requirements) 
• All Extras and Scraps removed from CCMC
• Clarify where to move the stock with Tim (1 Marcus until they give us permission to discard or allocate somewhere)
Guardrails 
• Activate PA Creds ahead of deployment
Completion signals 
Photograph Clean Deployment Areas</v>
      </c>
      <c r="S17" s="25"/>
      <c r="T17" s="25"/>
      <c r="U17" s="8"/>
      <c r="V17" s="8" t="str">
        <f>_xlfn.SINGLE(IF($B17 = "", "", IF(_xlfn.SINGLE(_xlfn.TEXTJOIN(" | ", TRUE, IF($B17 = "", "Missing Title", ""), IF($C17 = "", "Missing Date", ""), IF($D17 = "", "Missing Start", ""), IF($E17 = "", "Missing End", ""), IF($G17 = "", "Missing Required Attendees", ""), IF($T17 = "", "Missing Status", ""), IF(AND($D17 &lt;&gt; "", $E17 &lt;&gt; "", $D17 &gt;= $E17), "Start&gt;=End", ""), IF(OR($R17 = "", LEN($R17) &lt; 60, ISNUMBER(MATCH(TRIM($R17), StatusList, 0))), "Body overwritten/short", ""))) = "", "OK", _xlfn.TEXTJOIN(" | ", TRUE, IF($B17 = "", "Missing Title", ""), IF($C17 = "", "Missing Date", ""), IF($D17 = "", "Missing Start", ""), IF($E17 = "", "Missing End", ""), IF($G17 = "", "Missing Required Attendees", ""), IF($T17 = "", "Missing Status", ""), IF(AND($D17 &lt;&gt; "", $E17 &lt;&gt; "", $D17 &gt;= $E17), "Start&gt;=End", ""), IF(OR($R17 = "", LEN($R17) &lt; 60, ISNUMBER(MATCH(TRIM($R17), StatusList, 0))), "Body overwritten/short", "")))))</f>
        <v>Missing Status</v>
      </c>
    </row>
    <row r="18" spans="1:22" ht="15" customHeight="1">
      <c r="A18" s="12" t="str">
        <f>IF(AND($B18&lt;&gt;"",$C18&lt;&gt;"",$D18&lt;&gt;"",$E18&lt;&gt;"",$G18&lt;&gt;""),
UPPER(
LEFT(TRIM(LEFT($G18,IFERROR(FIND(";",$G18)-1,999))),1)&amp;
IFERROR(
MID(TRIM(LEFT($G18,IFERROR(FIND(";",$G18)-1,999))),
FIND(" ",TRIM(LEFT($G18,IFERROR(FIND(";",$G18)-1,999))))+1,1),
MID(TRIM(LEFT($G18,IFERROR(FIND(";",$G18)-1,999))),2,1)
)
)&amp;"-"&amp;TEXT($C18,"yyyy-mm-dd"),
"")</f>
        <v>AP-2026-02-21</v>
      </c>
      <c r="B18" s="25" t="s">
        <v>192</v>
      </c>
      <c r="C18" s="34">
        <v>46074</v>
      </c>
      <c r="D18" s="38">
        <v>0.33333333333333331</v>
      </c>
      <c r="E18" s="38">
        <v>0.75</v>
      </c>
      <c r="F18" s="25" t="s">
        <v>58</v>
      </c>
      <c r="G18" s="25" t="s">
        <v>193</v>
      </c>
      <c r="H18" s="25" t="s">
        <v>175</v>
      </c>
      <c r="I18" s="25" t="s">
        <v>194</v>
      </c>
      <c r="J18" s="25" t="s">
        <v>62</v>
      </c>
      <c r="K18" s="25">
        <v>15</v>
      </c>
      <c r="L18" s="25" t="s">
        <v>195</v>
      </c>
      <c r="M18" s="25" t="s">
        <v>196</v>
      </c>
      <c r="N18" s="25" t="s">
        <v>197</v>
      </c>
      <c r="O18" s="25" t="s">
        <v>198</v>
      </c>
      <c r="P18" s="25" t="s">
        <v>199</v>
      </c>
      <c r="Q18" s="25" t="s">
        <v>200</v>
      </c>
      <c r="R18" s="16" t="str">
        <f>IF($L18&lt;&gt;"","Purpose "&amp;CHAR(10)&amp;$L18&amp;CHAR(10)&amp;CHAR(10),"")&amp;
IF($M18&lt;&gt;"","Stops (in order) "&amp;CHAR(10)&amp;$M18&amp;CHAR(10)&amp;CHAR(10),"")&amp;
IF($N18&lt;&gt;"","To-Do (hard requirements) "&amp;CHAR(10)&amp;$N18&amp;CHAR(10)&amp;CHAR(10),"")&amp;
IF($O18&lt;&gt;"","Suggested Timeline "&amp;CHAR(10)&amp;$O18&amp;CHAR(10)&amp;CHAR(10),"")&amp;
IF($P18&lt;&gt;"","Guardrails "&amp;CHAR(10)&amp;$P18&amp;CHAR(10)&amp;CHAR(10),"")&amp;
IF($Q18&lt;&gt;"","Completion signals "&amp;CHAR(10)&amp;$Q18,"")</f>
        <v>Purpose 
Deploy/validate LIJ ORs (weekend block; 29 devices total across 2 days). FIRST ACTION: activate PA creds for all techs before deployments. Install Cybernet + GCX arms + peripherals (mouse, keyboard, badge reader, barcode scanner). Update trackers live as we go; log exceptions in real time.
Stops (in order) 
1) 08:00 kickoff + scope confirmation 2) PA creds activation (everyone) + quick verification 3) Stage carts/devices + verify ready state 4) ORs first: deploy + mount + cable-manage 5) Validate badge/barcode/connectivity per device 6) Update trackers continuously + log exceptions + owners 7) 17:30 final sweep + handoff notes
To-Do (hard requirements) 
Bring standard baseline stock: disposal supplies, cabling/labeling, Cybernets, keyboard/mouse, badge reader test, barcode scanner test, 25-ft Cat6, breakaway adapter, GCX arm parts; PA creds must be activated/working before deployment starts; tracker access confirmed.
Suggested Timeline 
08:00 kickoff; 08:10 PA creds activation; 08:20 staging; 09:00 deployments rolling; 16:30 start final sweep; 17:30 handoff notes; 18:00 wrap
Guardrails 
No scope creep; protect clinical areas; minimal footprint; escalate access/permissions blockers immediately; update trackers as work is performed (not later); document every exception with owner + next step.
Completion signals 
PA creds active for all techs; assigned devices deployed + validated; tracker reflects reality throughout the day; exceptions logged with owner/next step; same-day handoff notes sent.</v>
      </c>
      <c r="S18" s="25"/>
      <c r="T18" s="25"/>
      <c r="U18" s="8"/>
      <c r="V18" s="8" t="str">
        <f>_xlfn.SINGLE(IF($B18 = "", "", IF(_xlfn.SINGLE(_xlfn.TEXTJOIN(" | ", TRUE, IF($B18 = "", "Missing Title", ""), IF($C18 = "", "Missing Date", ""), IF($D18 = "", "Missing Start", ""), IF($E18 = "", "Missing End", ""), IF($G18 = "", "Missing Required Attendees", ""), IF($T18 = "", "Missing Status", ""), IF(AND($D18 &lt;&gt; "", $E18 &lt;&gt; "", $D18 &gt;= $E18), "Start&gt;=End", ""), IF(OR($R18 = "", LEN($R18) &lt; 60, ISNUMBER(MATCH(TRIM($R18), StatusList, 0))), "Body overwritten/short", ""))) = "", "OK", _xlfn.TEXTJOIN(" | ", TRUE, IF($B18 = "", "Missing Title", ""), IF($C18 = "", "Missing Date", ""), IF($D18 = "", "Missing Start", ""), IF($E18 = "", "Missing End", ""), IF($G18 = "", "Missing Required Attendees", ""), IF($T18 = "", "Missing Status", ""), IF(AND($D18 &lt;&gt; "", $E18 &lt;&gt; "", $D18 &gt;= $E18), "Start&gt;=End", ""), IF(OR($R18 = "", LEN($R18) &lt; 60, ISNUMBER(MATCH(TRIM($R18), StatusList, 0))), "Body overwritten/short", "")))))</f>
        <v>Missing Status</v>
      </c>
    </row>
    <row r="19" spans="1:22" ht="15" customHeight="1">
      <c r="A19" s="12" t="str">
        <f>IF(AND($B19&lt;&gt;"",$C19&lt;&gt;"",$D19&lt;&gt;"",$E19&lt;&gt;"",$G19&lt;&gt;""),
UPPER(
LEFT(TRIM(LEFT($G19,IFERROR(FIND(";",$G19)-1,999))),1)&amp;
IFERROR(
MID(TRIM(LEFT($G19,IFERROR(FIND(";",$G19)-1,999))),
FIND(" ",TRIM(LEFT($G19,IFERROR(FIND(";",$G19)-1,999))))+1,1),
MID(TRIM(LEFT($G19,IFERROR(FIND(";",$G19)-1,999))),2,1)
)
)&amp;"-"&amp;TEXT($C19,"yyyy-mm-dd"),
"")</f>
        <v>AP-2026-02-22</v>
      </c>
      <c r="B19" s="25" t="s">
        <v>201</v>
      </c>
      <c r="C19" s="34">
        <v>46075</v>
      </c>
      <c r="D19" s="38">
        <v>0.33333333333333331</v>
      </c>
      <c r="E19" s="38">
        <v>0.75</v>
      </c>
      <c r="F19" s="25" t="s">
        <v>58</v>
      </c>
      <c r="G19" s="25" t="s">
        <v>202</v>
      </c>
      <c r="H19" s="25" t="s">
        <v>175</v>
      </c>
      <c r="I19" s="25" t="s">
        <v>194</v>
      </c>
      <c r="J19" s="25" t="s">
        <v>62</v>
      </c>
      <c r="K19" s="25">
        <v>15</v>
      </c>
      <c r="L19" s="25" t="s">
        <v>203</v>
      </c>
      <c r="M19" s="25" t="s">
        <v>204</v>
      </c>
      <c r="N19" s="25" t="s">
        <v>205</v>
      </c>
      <c r="O19" s="25" t="s">
        <v>206</v>
      </c>
      <c r="P19" s="25" t="s">
        <v>207</v>
      </c>
      <c r="Q19" s="25" t="s">
        <v>208</v>
      </c>
      <c r="R19" s="16" t="str">
        <f>IF($L19&lt;&gt;"","Purpose "&amp;CHAR(10)&amp;$L19&amp;CHAR(10)&amp;CHAR(10),"")&amp;
IF($M19&lt;&gt;"","Stops (in order) "&amp;CHAR(10)&amp;$M19&amp;CHAR(10)&amp;CHAR(10),"")&amp;
IF($N19&lt;&gt;"","To-Do (hard requirements) "&amp;CHAR(10)&amp;$N19&amp;CHAR(10)&amp;CHAR(10),"")&amp;
IF($O19&lt;&gt;"","Suggested Timeline "&amp;CHAR(10)&amp;$O19&amp;CHAR(10)&amp;CHAR(10),"")&amp;
IF($P19&lt;&gt;"","Guardrails "&amp;CHAR(10)&amp;$P19&amp;CHAR(10)&amp;CHAR(10),"")&amp;
IF($Q19&lt;&gt;"","Completion signals "&amp;CHAR(10)&amp;$Q19,"")</f>
        <v>Purpose 
Continue LIJ ORs deployment/testing. FIRST ACTION: confirm PA creds still working (or re-activate if needed). Same standards: GCX arms + peripherals installed; validate badge/barcode/connectivity; trackers stay live; close out open issues from Day 1.
Stops (in order) 
1) 08:00 kickoff + review Day 1 exceptions 2) Confirm PA creds active + quick verification 3) Stage remaining devices/parts 4) Complete remaining ORs first 5) Re-test any problem rooms 6) Update trackers continuously + resolve/escalate exceptions 7) Consolidate disposal pile + label clearly 8) 17:30 final sweep + handoff notes
To-Do (hard requirements) 
Zero “we’ll fix it later” devices left in service. PA creds verified before work begins. Any blocker gets an owner + next action logged before wrap. Tracker stays current throughout execution.
Suggested Timeline 
08:00 kickoff; 08:10 PA creds verification; 08:20 staging; 09:00 deployments rolling; 15:30 begin closeout/retests; 17:30 handoff notes; 18:00 wrap
Guardrails 
No improvising changes; keep OR sequence disciplined; escalate access/port issues immediately; keep cabling clean and standardized; update trackers as we go so status is always current.
Completion signals 
PA creds verified; all remaining assigned devices deployed + validated; Day 1 issues resolved or owned; tracker current; closeout notes sent.</v>
      </c>
      <c r="S19" s="25"/>
      <c r="T19" s="25"/>
      <c r="U19" s="8"/>
      <c r="V19" s="8" t="str">
        <f>_xlfn.SINGLE(IF($B19 = "", "", IF(_xlfn.SINGLE(_xlfn.TEXTJOIN(" | ", TRUE, IF($B19 = "", "Missing Title", ""), IF($C19 = "", "Missing Date", ""), IF($D19 = "", "Missing Start", ""), IF($E19 = "", "Missing End", ""), IF($G19 = "", "Missing Required Attendees", ""), IF($T19 = "", "Missing Status", ""), IF(AND($D19 &lt;&gt; "", $E19 &lt;&gt; "", $D19 &gt;= $E19), "Start&gt;=End", ""), IF(OR($R19 = "", LEN($R19) &lt; 60, ISNUMBER(MATCH(TRIM($R19), StatusList, 0))), "Body overwritten/short", ""))) = "", "OK", _xlfn.TEXTJOIN(" | ", TRUE, IF($B19 = "", "Missing Title", ""), IF($C19 = "", "Missing Date", ""), IF($D19 = "", "Missing Start", ""), IF($E19 = "", "Missing End", ""), IF($G19 = "", "Missing Required Attendees", ""), IF($T19 = "", "Missing Status", ""), IF(AND($D19 &lt;&gt; "", $E19 &lt;&gt; "", $D19 &gt;= $E19), "Start&gt;=End", ""), IF(OR($R19 = "", LEN($R19) &lt; 60, ISNUMBER(MATCH(TRIM($R19), StatusList, 0))), "Body overwritten/short", "")))))</f>
        <v>Missing Status</v>
      </c>
    </row>
    <row r="20" spans="1:22" ht="15" customHeight="1">
      <c r="A20" s="12" t="str">
        <f>IF(AND($B20&lt;&gt;"",$C20&lt;&gt;"",$D20&lt;&gt;"",$E20&lt;&gt;"",$G20&lt;&gt;""),
UPPER(
LEFT(TRIM(LEFT($G20,IFERROR(FIND(";",$G20)-1,999))),1)&amp;
IFERROR(
MID(TRIM(LEFT($G20,IFERROR(FIND(";",$G20)-1,999))),
FIND(" ",TRIM(LEFT($G20,IFERROR(FIND(";",$G20)-1,999))))+1,1),
MID(TRIM(LEFT($G20,IFERROR(FIND(";",$G20)-1,999))),2,1)
)
)&amp;"-"&amp;TEXT($C20,"yyyy-mm-dd"),
"")</f>
        <v>DD-2026-02-26</v>
      </c>
      <c r="B20" s="25" t="s">
        <v>209</v>
      </c>
      <c r="C20" s="34">
        <v>46079</v>
      </c>
      <c r="D20" s="38">
        <v>0.375</v>
      </c>
      <c r="E20" s="38">
        <v>0.70833333333333337</v>
      </c>
      <c r="F20" s="25" t="s">
        <v>58</v>
      </c>
      <c r="G20" s="25" t="s">
        <v>210</v>
      </c>
      <c r="H20" s="25" t="s">
        <v>175</v>
      </c>
      <c r="I20" s="25" t="s">
        <v>211</v>
      </c>
      <c r="J20" s="25" t="s">
        <v>62</v>
      </c>
      <c r="K20" s="25">
        <v>15</v>
      </c>
      <c r="L20" s="25" t="s">
        <v>212</v>
      </c>
      <c r="M20" s="25" t="s">
        <v>213</v>
      </c>
      <c r="N20" s="25" t="s">
        <v>214</v>
      </c>
      <c r="O20" s="25" t="s">
        <v>215</v>
      </c>
      <c r="P20" s="25" t="s">
        <v>216</v>
      </c>
      <c r="Q20" s="25" t="s">
        <v>217</v>
      </c>
      <c r="R20" s="16" t="str">
        <f>IF($L20&lt;&gt;"","Purpose "&amp;CHAR(10)&amp;$L20&amp;CHAR(10)&amp;CHAR(10),"")&amp;
IF($M20&lt;&gt;"","Stops (in order) "&amp;CHAR(10)&amp;$M20&amp;CHAR(10)&amp;CHAR(10),"")&amp;
IF($N20&lt;&gt;"","To-Do (hard requirements) "&amp;CHAR(10)&amp;$N20&amp;CHAR(10)&amp;CHAR(10),"")&amp;
IF($O20&lt;&gt;"","Suggested Timeline "&amp;CHAR(10)&amp;$O20&amp;CHAR(10)&amp;CHAR(10),"")&amp;
IF($P20&lt;&gt;"","Guardrails "&amp;CHAR(10)&amp;$P20&amp;CHAR(10)&amp;CHAR(10),"")&amp;
IF($Q20&lt;&gt;"","Completion signals "&amp;CHAR(10)&amp;$Q20,"")</f>
        <v>Purpose 
Deliver and stage everything needed for the weekend deployment (13 procedural devices + 3 annex). Confirm counts, label/stage by area, and clear access blockers early.
Stops (in order) 
1) Pickup/pack check (kits, peripherals, labels) 2) Transport to LIJ 3) Stage procedural-area kits (13) 4) Stage annex kits (3) 5) Verify inventory against picklist 6) Identify + log blockers (missing parts, access, storage) 7) End-of-day handoff notes
To-Do (hard requirements) 
All deployment kits (devices, arms, cables/peripherals), printed picklists, labels/tape, carts, access/keys, storage/staging space confirmed, tracker updated in real time.
Suggested Timeline 
09:00 kickoff + loadout; 10:30 arrive LIJ + staging begins; 12:30 inventory checkpoint; 15:30 re-check counts + label sweep; 16:45 handoff notes + blocker escalation; 17:00 wrap.
Guardrails 
No surprises on Saturday: if something is missing or access is blocked, escalate same day. Keep procedural vs annex kits separated and labeled. Update tracker as you go.
Completion signals 
All items delivered + staged; kits labeled by area (13 procedural / 3 annex); discrepancies logged with owners + next actions; tracker reflects reality.</v>
      </c>
      <c r="S20" s="25"/>
      <c r="T20" s="25"/>
      <c r="U20" s="8"/>
      <c r="V20" s="8" t="str">
        <f>_xlfn.SINGLE(IF($B20 = "", "", IF(_xlfn.SINGLE(_xlfn.TEXTJOIN(" | ", TRUE, IF($B20 = "", "Missing Title", ""), IF($C20 = "", "Missing Date", ""), IF($D20 = "", "Missing Start", ""), IF($E20 = "", "Missing End", ""), IF($G20 = "", "Missing Required Attendees", ""), IF($T20 = "", "Missing Status", ""), IF(AND($D20 &lt;&gt; "", $E20 &lt;&gt; "", $D20 &gt;= $E20), "Start&gt;=End", ""), IF(OR($R20 = "", LEN($R20) &lt; 60, ISNUMBER(MATCH(TRIM($R20), StatusList, 0))), "Body overwritten/short", ""))) = "", "OK", _xlfn.TEXTJOIN(" | ", TRUE, IF($B20 = "", "Missing Title", ""), IF($C20 = "", "Missing Date", ""), IF($D20 = "", "Missing Start", ""), IF($E20 = "", "Missing End", ""), IF($G20 = "", "Missing Required Attendees", ""), IF($T20 = "", "Missing Status", ""), IF(AND($D20 &lt;&gt; "", $E20 &lt;&gt; "", $D20 &gt;= $E20), "Start&gt;=End", ""), IF(OR($R20 = "", LEN($R20) &lt; 60, ISNUMBER(MATCH(TRIM($R20), StatusList, 0))), "Body overwritten/short", "")))))</f>
        <v>Missing Status</v>
      </c>
    </row>
    <row r="21" spans="1:22" ht="15" customHeight="1">
      <c r="A21" s="12" t="str">
        <f>IF(AND($B21&lt;&gt;"",$C21&lt;&gt;"",$D21&lt;&gt;"",$E21&lt;&gt;"",$G21&lt;&gt;""),
UPPER(
LEFT(TRIM(LEFT($G21,IFERROR(FIND(";",$G21)-1,999))),1)&amp;
IFERROR(
MID(TRIM(LEFT($G21,IFERROR(FIND(";",$G21)-1,999))),
FIND(" ",TRIM(LEFT($G21,IFERROR(FIND(";",$G21)-1,999))))+1,1),
MID(TRIM(LEFT($G21,IFERROR(FIND(";",$G21)-1,999))),2,1)
)
)&amp;"-"&amp;TEXT($C21,"yyyy-mm-dd"),
"")</f>
        <v>DD-2026-02-27</v>
      </c>
      <c r="B21" s="25" t="s">
        <v>218</v>
      </c>
      <c r="C21" s="34">
        <v>46080</v>
      </c>
      <c r="D21" s="38">
        <v>0.375</v>
      </c>
      <c r="E21" s="38">
        <v>0.70833333333333337</v>
      </c>
      <c r="F21" s="25" t="s">
        <v>58</v>
      </c>
      <c r="G21" s="25" t="s">
        <v>210</v>
      </c>
      <c r="H21" s="25" t="s">
        <v>175</v>
      </c>
      <c r="I21" s="25" t="s">
        <v>211</v>
      </c>
      <c r="J21" s="25" t="s">
        <v>62</v>
      </c>
      <c r="K21" s="25">
        <v>15</v>
      </c>
      <c r="L21" s="25" t="s">
        <v>219</v>
      </c>
      <c r="M21" s="25" t="s">
        <v>220</v>
      </c>
      <c r="N21" s="25" t="s">
        <v>221</v>
      </c>
      <c r="O21" s="25" t="s">
        <v>222</v>
      </c>
      <c r="P21" s="25" t="s">
        <v>223</v>
      </c>
      <c r="Q21" s="25" t="s">
        <v>224</v>
      </c>
      <c r="R21" s="16" t="str">
        <f>IF($L21&lt;&gt;"","Purpose "&amp;CHAR(10)&amp;$L21&amp;CHAR(10)&amp;CHAR(10),"")&amp;
IF($M21&lt;&gt;"","Stops (in order) "&amp;CHAR(10)&amp;$M21&amp;CHAR(10)&amp;CHAR(10),"")&amp;
IF($N21&lt;&gt;"","To-Do (hard requirements) "&amp;CHAR(10)&amp;$N21&amp;CHAR(10)&amp;CHAR(10),"")&amp;
IF($O21&lt;&gt;"","Suggested Timeline "&amp;CHAR(10)&amp;$O21&amp;CHAR(10)&amp;CHAR(10),"")&amp;
IF($P21&lt;&gt;"","Guardrails "&amp;CHAR(10)&amp;$P21&amp;CHAR(10)&amp;CHAR(10),"")&amp;
IF($Q21&lt;&gt;"","Completion signals "&amp;CHAR(10)&amp;$Q21,"")</f>
        <v>Purpose 
Finalize staging, resolve gaps from Day 1, and confirm Saturday go-live readiness (parts, access, storage, and area readiness).
Stops (in order) 
1) Review Day 1 discrepancies 2) Deliver remaining items 3) Re-verify staged kits (procedural + annex) 4) Confirm access + storage plan for weekend 5) Final label/organization sweep 6) Confirm kickoff logistics for Saturday 7) Handoff notes
To-Do (hard requirements) 
Open discrepancy list from Day 1, any missing parts, confirmed access badges/permissions, updated tracker, weekend contact list.
Suggested Timeline 
09:00 kickoff + discrepancy triage; 10:30 deliver remaining items; 12:00 full recount checkpoint; 15:30 final staging sweep; 16:30 confirm Saturday kickoff + comms; 17:00 wrap.
Guardrails 
If a blocker survives Friday, it will bite on Saturday. Escalate early. Keep kits sealed/organized after verification.
Completion signals 
All discrepancies resolved or owned; kits staged + verified; Saturday kickoff plan confirmed; tracker current.</v>
      </c>
      <c r="S21" s="25"/>
      <c r="T21" s="25"/>
      <c r="U21" s="8"/>
      <c r="V21" s="8" t="str">
        <f>_xlfn.SINGLE(IF($B21 = "", "", IF(_xlfn.SINGLE(_xlfn.TEXTJOIN(" | ", TRUE, IF($B21 = "", "Missing Title", ""), IF($C21 = "", "Missing Date", ""), IF($D21 = "", "Missing Start", ""), IF($E21 = "", "Missing End", ""), IF($G21 = "", "Missing Required Attendees", ""), IF($T21 = "", "Missing Status", ""), IF(AND($D21 &lt;&gt; "", $E21 &lt;&gt; "", $D21 &gt;= $E21), "Start&gt;=End", ""), IF(OR($R21 = "", LEN($R21) &lt; 60, ISNUMBER(MATCH(TRIM($R21), StatusList, 0))), "Body overwritten/short", ""))) = "", "OK", _xlfn.TEXTJOIN(" | ", TRUE, IF($B21 = "", "Missing Title", ""), IF($C21 = "", "Missing Date", ""), IF($D21 = "", "Missing Start", ""), IF($E21 = "", "Missing End", ""), IF($G21 = "", "Missing Required Attendees", ""), IF($T21 = "", "Missing Status", ""), IF(AND($D21 &lt;&gt; "", $E21 &lt;&gt; "", $D21 &gt;= $E21), "Start&gt;=End", ""), IF(OR($R21 = "", LEN($R21) &lt; 60, ISNUMBER(MATCH(TRIM($R21), StatusList, 0))), "Body overwritten/short", "")))))</f>
        <v>Missing Status</v>
      </c>
    </row>
    <row r="22" spans="1:22" ht="15" customHeight="1">
      <c r="A22" s="12" t="str">
        <f>IF(AND($B22&lt;&gt;"",$C22&lt;&gt;"",$D22&lt;&gt;"",$E22&lt;&gt;"",$G22&lt;&gt;""),
UPPER(
LEFT(TRIM(LEFT($G22,IFERROR(FIND(";",$G22)-1,999))),1)&amp;
IFERROR(
MID(TRIM(LEFT($G22,IFERROR(FIND(";",$G22)-1,999))),
FIND(" ",TRIM(LEFT($G22,IFERROR(FIND(";",$G22)-1,999))))+1,1),
MID(TRIM(LEFT($G22,IFERROR(FIND(";",$G22)-1,999))),2,1)
)
)&amp;"-"&amp;TEXT($C22,"yyyy-mm-dd"),
"")</f>
        <v>AP-2026-02-28</v>
      </c>
      <c r="B22" s="25" t="s">
        <v>192</v>
      </c>
      <c r="C22" s="34">
        <v>46081</v>
      </c>
      <c r="D22" s="38">
        <v>0.33333333333333331</v>
      </c>
      <c r="E22" s="38">
        <v>0.75</v>
      </c>
      <c r="F22" s="25" t="s">
        <v>58</v>
      </c>
      <c r="G22" s="25" t="s">
        <v>193</v>
      </c>
      <c r="H22" s="25" t="s">
        <v>175</v>
      </c>
      <c r="I22" s="25" t="s">
        <v>225</v>
      </c>
      <c r="J22" s="25" t="s">
        <v>62</v>
      </c>
      <c r="K22" s="25">
        <v>15</v>
      </c>
      <c r="L22" s="25" t="s">
        <v>226</v>
      </c>
      <c r="M22" s="25" t="s">
        <v>227</v>
      </c>
      <c r="N22" s="25" t="s">
        <v>228</v>
      </c>
      <c r="O22" s="25" t="s">
        <v>229</v>
      </c>
      <c r="P22" s="25" t="s">
        <v>230</v>
      </c>
      <c r="Q22" s="25" t="s">
        <v>231</v>
      </c>
      <c r="R22" s="16" t="str">
        <f>IF($L22&lt;&gt;"","Purpose "&amp;CHAR(10)&amp;$L22&amp;CHAR(10)&amp;CHAR(10),"")&amp;
IF($M22&lt;&gt;"","Stops (in order) "&amp;CHAR(10)&amp;$M22&amp;CHAR(10)&amp;CHAR(10),"")&amp;
IF($N22&lt;&gt;"","To-Do (hard requirements) "&amp;CHAR(10)&amp;$N22&amp;CHAR(10)&amp;CHAR(10),"")&amp;
IF($O22&lt;&gt;"","Suggested Timeline "&amp;CHAR(10)&amp;$O22&amp;CHAR(10)&amp;CHAR(10),"")&amp;
IF($P22&lt;&gt;"","Guardrails "&amp;CHAR(10)&amp;$P22&amp;CHAR(10)&amp;CHAR(10),"")&amp;
IF($Q22&lt;&gt;"","Completion signals "&amp;CHAR(10)&amp;$Q22,"")</f>
        <v>Purpose 
Deploy and validate devices in LIJ procedural areas (target: 13). First action: confirm PA creds/access for all techs before touching anything.
Stops (in order) 
1) 08:00 kickoff + scope confirm 2) Confirm PA creds active + quick verification 3) Stage devices/parts by room 4) Deploy in waves; validate peripherals + connectivity 5) Update tracker continuously 6) Resolve/escalate exceptions 7) End-of-day sweep + handoff notes
To-Do (hard requirements) 
PA creds verified, deployment kits staged, barcode/badge readers tested, network/connectivity validated, trackers ready, room access confirmed.
Suggested Timeline 
08:00 kickoff; 08:15 PA cred verification; 08:30 staging; 09:00 deployments rolling; 12:30 checkpoint; 16:30 start sweep; 17:30 handoff notes; 18:00 wrap.
Guardrails 
No scope creep. Keep tracker honest. Escalate access/permissions blockers immediately. Separate ‘done’ vs ‘needs follow-up’.
Completion signals 
Procedural-area deployments complete/validated (13 target); tracker accurate; exceptions logged with owners + next actions; clean handoff.</v>
      </c>
      <c r="S22" s="25"/>
      <c r="T22" s="25"/>
      <c r="U22" s="8"/>
      <c r="V22" s="8" t="str">
        <f>_xlfn.SINGLE(IF($B22 = "", "", IF(_xlfn.SINGLE(_xlfn.TEXTJOIN(" | ", TRUE, IF($B22 = "", "Missing Title", ""), IF($C22 = "", "Missing Date", ""), IF($D22 = "", "Missing Start", ""), IF($E22 = "", "Missing End", ""), IF($G22 = "", "Missing Required Attendees", ""), IF($T22 = "", "Missing Status", ""), IF(AND($D22 &lt;&gt; "", $E22 &lt;&gt; "", $D22 &gt;= $E22), "Start&gt;=End", ""), IF(OR($R22 = "", LEN($R22) &lt; 60, ISNUMBER(MATCH(TRIM($R22), StatusList, 0))), "Body overwritten/short", ""))) = "", "OK", _xlfn.TEXTJOIN(" | ", TRUE, IF($B22 = "", "Missing Title", ""), IF($C22 = "", "Missing Date", ""), IF($D22 = "", "Missing Start", ""), IF($E22 = "", "Missing End", ""), IF($G22 = "", "Missing Required Attendees", ""), IF($T22 = "", "Missing Status", ""), IF(AND($D22 &lt;&gt; "", $E22 &lt;&gt; "", $D22 &gt;= $E22), "Start&gt;=End", ""), IF(OR($R22 = "", LEN($R22) &lt; 60, ISNUMBER(MATCH(TRIM($R22), StatusList, 0))), "Body overwritten/short", "")))))</f>
        <v>Missing Status</v>
      </c>
    </row>
    <row r="23" spans="1:22" ht="15" customHeight="1">
      <c r="A23" s="12" t="str">
        <f>IF(AND($B23&lt;&gt;"",$C23&lt;&gt;"",$D23&lt;&gt;"",$E23&lt;&gt;"",$G23&lt;&gt;""),
UPPER(
LEFT(TRIM(LEFT($G23,IFERROR(FIND(";",$G23)-1,999))),1)&amp;
IFERROR(
MID(TRIM(LEFT($G23,IFERROR(FIND(";",$G23)-1,999))),
FIND(" ",TRIM(LEFT($G23,IFERROR(FIND(";",$G23)-1,999))))+1,1),
MID(TRIM(LEFT($G23,IFERROR(FIND(";",$G23)-1,999))),2,1)
)
)&amp;"-"&amp;TEXT($C23,"yyyy-mm-dd"),
"")</f>
        <v>AP-2026-03-01</v>
      </c>
      <c r="B23" s="25" t="s">
        <v>201</v>
      </c>
      <c r="C23" s="34">
        <v>46082</v>
      </c>
      <c r="D23" s="38">
        <v>0.33333333333333331</v>
      </c>
      <c r="E23" s="38">
        <v>0.75</v>
      </c>
      <c r="F23" s="25" t="s">
        <v>58</v>
      </c>
      <c r="G23" s="25" t="s">
        <v>202</v>
      </c>
      <c r="H23" s="25" t="s">
        <v>175</v>
      </c>
      <c r="I23" s="25" t="s">
        <v>232</v>
      </c>
      <c r="J23" s="25" t="s">
        <v>62</v>
      </c>
      <c r="K23" s="25">
        <v>15</v>
      </c>
      <c r="L23" s="25" t="s">
        <v>233</v>
      </c>
      <c r="M23" s="25" t="s">
        <v>234</v>
      </c>
      <c r="N23" s="25" t="s">
        <v>235</v>
      </c>
      <c r="O23" s="25" t="s">
        <v>236</v>
      </c>
      <c r="P23" s="25" t="s">
        <v>237</v>
      </c>
      <c r="Q23" s="25" t="s">
        <v>238</v>
      </c>
      <c r="R23" s="16" t="str">
        <f>IF($L23&lt;&gt;"","Purpose "&amp;CHAR(10)&amp;$L23&amp;CHAR(10)&amp;CHAR(10),"")&amp;
IF($M23&lt;&gt;"","Stops (in order) "&amp;CHAR(10)&amp;$M23&amp;CHAR(10)&amp;CHAR(10),"")&amp;
IF($N23&lt;&gt;"","To-Do (hard requirements) "&amp;CHAR(10)&amp;$N23&amp;CHAR(10)&amp;CHAR(10),"")&amp;
IF($O23&lt;&gt;"","Suggested Timeline "&amp;CHAR(10)&amp;$O23&amp;CHAR(10)&amp;CHAR(10),"")&amp;
IF($P23&lt;&gt;"","Guardrails "&amp;CHAR(10)&amp;$P23&amp;CHAR(10)&amp;CHAR(10),"")&amp;
IF($Q23&lt;&gt;"","Completion signals "&amp;CHAR(10)&amp;$Q23,"")</f>
        <v>Purpose 
Complete remaining deployments and validation, with focus on annex devices (target: 3) plus final hospital-wide sweep and closeout.
Stops (in order) 
1) 08:00 kickoff + review Day 1 exceptions 2) Confirm PA creds/access 3) Deploy/validate annex devices (3 target) 4) Re-validate any Day 1 follow-ups 5) Final sweep + reconcile tracker 6) Consolidate disposal/returns 7) Handoff notes + closeout
To-Do (hard requirements) 
Annex access confirmed, remaining kits staged, exception list from Day 1, tracker current, packing materials for returns/disposal.
Suggested Timeline 
08:00 kickoff; 08:15 review exceptions; 09:00 annex deployments; 12:30 checkpoint; 15:30 reconcile + sweep; 17:30 handoff notes; 18:00 wrap.
Guardrails 
Close loops, don’t create new ones. Keep annex vs procedural records separate. Tracker stays current.
Completion signals 
Annex deployments complete/validated (3 target); all exceptions owned; tracker reconciled; final closeout notes delivered.</v>
      </c>
      <c r="S23" s="25"/>
      <c r="T23" s="25"/>
      <c r="U23" s="8"/>
      <c r="V23" s="8" t="str">
        <f>_xlfn.SINGLE(IF($B23 = "", "", IF(_xlfn.SINGLE(_xlfn.TEXTJOIN(" | ", TRUE, IF($B23 = "", "Missing Title", ""), IF($C23 = "", "Missing Date", ""), IF($D23 = "", "Missing Start", ""), IF($E23 = "", "Missing End", ""), IF($G23 = "", "Missing Required Attendees", ""), IF($T23 = "", "Missing Status", ""), IF(AND($D23 &lt;&gt; "", $E23 &lt;&gt; "", $D23 &gt;= $E23), "Start&gt;=End", ""), IF(OR($R23 = "", LEN($R23) &lt; 60, ISNUMBER(MATCH(TRIM($R23), StatusList, 0))), "Body overwritten/short", ""))) = "", "OK", _xlfn.TEXTJOIN(" | ", TRUE, IF($B23 = "", "Missing Title", ""), IF($C23 = "", "Missing Date", ""), IF($D23 = "", "Missing Start", ""), IF($E23 = "", "Missing End", ""), IF($G23 = "", "Missing Required Attendees", ""), IF($T23 = "", "Missing Status", ""), IF(AND($D23 &lt;&gt; "", $E23 &lt;&gt; "", $D23 &gt;= $E23), "Start&gt;=End", ""), IF(OR($R23 = "", LEN($R23) &lt; 60, ISNUMBER(MATCH(TRIM($R23), StatusList, 0))), "Body overwritten/short", "")))))</f>
        <v>Missing Status</v>
      </c>
    </row>
    <row r="24" spans="1:22" ht="15" customHeight="1">
      <c r="A24" s="12" t="str">
        <f>IF(AND($B24&lt;&gt;"",$C24&lt;&gt;"",$D24&lt;&gt;"",$E24&lt;&gt;"",$G24&lt;&gt;""),
UPPER(
LEFT(TRIM(LEFT($G24,IFERROR(FIND(";",$G24)-1,999))),1)&amp;
IFERROR(
MID(TRIM(LEFT($G24,IFERROR(FIND(";",$G24)-1,999))),
FIND(" ",TRIM(LEFT($G24,IFERROR(FIND(";",$G24)-1,999))))+1,1),
MID(TRIM(LEFT($G24,IFERROR(FIND(";",$G24)-1,999))),2,1)
)
)&amp;"-"&amp;TEXT($C24,"yyyy-mm-dd"),
"")</f>
        <v>NC-2026-03-02</v>
      </c>
      <c r="B24" s="25" t="s">
        <v>239</v>
      </c>
      <c r="C24" s="34">
        <v>46083</v>
      </c>
      <c r="D24" s="38">
        <v>0.4375</v>
      </c>
      <c r="E24" s="38">
        <v>0.625</v>
      </c>
      <c r="F24" s="25" t="s">
        <v>58</v>
      </c>
      <c r="G24" s="25" t="s">
        <v>240</v>
      </c>
      <c r="H24" s="25" t="s">
        <v>241</v>
      </c>
      <c r="I24" s="25" t="s">
        <v>152</v>
      </c>
      <c r="J24" s="25" t="s">
        <v>62</v>
      </c>
      <c r="K24" s="25">
        <v>15</v>
      </c>
      <c r="L24" s="25" t="s">
        <v>242</v>
      </c>
      <c r="M24" s="25" t="s">
        <v>243</v>
      </c>
      <c r="N24" s="25" t="s">
        <v>244</v>
      </c>
      <c r="O24" s="25" t="s">
        <v>245</v>
      </c>
      <c r="P24" s="25" t="s">
        <v>246</v>
      </c>
      <c r="Q24" s="25" t="s">
        <v>247</v>
      </c>
      <c r="R24" s="16" t="str">
        <f>IF($L24&lt;&gt;"","Purpose "&amp;CHAR(10)&amp;$L24&amp;CHAR(10)&amp;CHAR(10),"")&amp;
IF($M24&lt;&gt;"","Stops (in order) "&amp;CHAR(10)&amp;$M24&amp;CHAR(10)&amp;CHAR(10),"")&amp;
IF($N24&lt;&gt;"","To-Do (hard requirements) "&amp;CHAR(10)&amp;$N24&amp;CHAR(10)&amp;CHAR(10),"")&amp;
IF($O24&lt;&gt;"","Suggested Timeline "&amp;CHAR(10)&amp;$O24&amp;CHAR(10)&amp;CHAR(10),"")&amp;
IF($P24&lt;&gt;"","Guardrails "&amp;CHAR(10)&amp;$P24&amp;CHAR(10)&amp;CHAR(10),"")&amp;
IF($Q24&lt;&gt;"","Completion signals "&amp;CHAR(10)&amp;$Q24,"")</f>
        <v>Purpose 
Test variables on neuron capsules at LIJ SDF. Tech arrives early for setup; testing starts 11:00; capture results + next actions before wrap.
Stops (in order) 
1) 10:30 arrival + setup/check-in 2) 11:00 start testing per test plan 3) Log results/observations as you go 4) Midpoint checkpoint + adjust 5) Wrap-up: summarize findings + next steps 6) Clean handoff and secure equipment
To-Do (hard requirements) 
Capsules + peripherals, test plan, logging template, access confirmed, any required credentials, spare cables/batteries.
Suggested Timeline 
10:30 setup; 11:00 testing start; 12:30 checkpoint; 14:30 consolidate notes; 15:00 wrap.
Guardrails 
No ad-hoc changes without logging. Keep a clear chain of custody for devices. Escalate any safety/clinical access issues immediately.
Completion signals 
Tested planned variables; results logged; follow-ups assigned; equipment accounted for.</v>
      </c>
      <c r="S24" s="25"/>
      <c r="T24" s="25"/>
      <c r="U24" s="8"/>
      <c r="V24" s="8" t="str">
        <f>_xlfn.SINGLE(IF($B24 = "", "", IF(_xlfn.SINGLE(_xlfn.TEXTJOIN(" | ", TRUE, IF($B24 = "", "Missing Title", ""), IF($C24 = "", "Missing Date", ""), IF($D24 = "", "Missing Start", ""), IF($E24 = "", "Missing End", ""), IF($G24 = "", "Missing Required Attendees", ""), IF($T24 = "", "Missing Status", ""), IF(AND($D24 &lt;&gt; "", $E24 &lt;&gt; "", $D24 &gt;= $E24), "Start&gt;=End", ""), IF(OR($R24 = "", LEN($R24) &lt; 60, ISNUMBER(MATCH(TRIM($R24), StatusList, 0))), "Body overwritten/short", ""))) = "", "OK", _xlfn.TEXTJOIN(" | ", TRUE, IF($B24 = "", "Missing Title", ""), IF($C24 = "", "Missing Date", ""), IF($D24 = "", "Missing Start", ""), IF($E24 = "", "Missing End", ""), IF($G24 = "", "Missing Required Attendees", ""), IF($T24 = "", "Missing Status", ""), IF(AND($D24 &lt;&gt; "", $E24 &lt;&gt; "", $D24 &gt;= $E24), "Start&gt;=End", ""), IF(OR($R24 = "", LEN($R24) &lt; 60, ISNUMBER(MATCH(TRIM($R24), StatusList, 0))), "Body overwritten/short", "")))))</f>
        <v>Missing Status</v>
      </c>
    </row>
    <row r="25" spans="1:22" ht="15" customHeight="1">
      <c r="A25" s="12" t="str">
        <f>IF(AND($B25&lt;&gt;"",$C25&lt;&gt;"",$D25&lt;&gt;"",$E25&lt;&gt;"",$G25&lt;&gt;""),
UPPER(
LEFT(TRIM(LEFT($G25,IFERROR(FIND(";",$G25)-1,999))),1)&amp;
IFERROR(
MID(TRIM(LEFT($G25,IFERROR(FIND(";",$G25)-1,999))),
FIND(" ",TRIM(LEFT($G25,IFERROR(FIND(";",$G25)-1,999))))+1,1),
MID(TRIM(LEFT($G25,IFERROR(FIND(";",$G25)-1,999))),2,1)
)
)&amp;"-"&amp;TEXT($C25,"yyyy-mm-dd"),
"")</f>
        <v>PM-2026-02-24</v>
      </c>
      <c r="B25" s="25" t="s">
        <v>248</v>
      </c>
      <c r="C25" s="34">
        <v>46077</v>
      </c>
      <c r="D25" s="38">
        <v>0.33333333333333331</v>
      </c>
      <c r="E25" s="38">
        <v>0.70833333333333337</v>
      </c>
      <c r="F25" s="25" t="s">
        <v>58</v>
      </c>
      <c r="G25" s="25" t="s">
        <v>105</v>
      </c>
      <c r="H25" s="25" t="s">
        <v>249</v>
      </c>
      <c r="I25" s="25" t="s">
        <v>250</v>
      </c>
      <c r="J25" s="25" t="s">
        <v>62</v>
      </c>
      <c r="K25" s="25">
        <v>15</v>
      </c>
      <c r="L25" s="25" t="s">
        <v>251</v>
      </c>
      <c r="M25" s="25" t="s">
        <v>252</v>
      </c>
      <c r="N25" s="25" t="s">
        <v>253</v>
      </c>
      <c r="O25" s="25" t="s">
        <v>254</v>
      </c>
      <c r="P25" s="25" t="s">
        <v>255</v>
      </c>
      <c r="Q25" s="25" t="s">
        <v>256</v>
      </c>
      <c r="R25" s="16" t="str">
        <f>IF($L25&lt;&gt;"","Purpose "&amp;CHAR(10)&amp;$L25&amp;CHAR(10)&amp;CHAR(10),"")&amp;
IF($M25&lt;&gt;"","Stops (in order) "&amp;CHAR(10)&amp;$M25&amp;CHAR(10)&amp;CHAR(10),"")&amp;
IF($N25&lt;&gt;"","To-Do (hard requirements) "&amp;CHAR(10)&amp;$N25&amp;CHAR(10)&amp;CHAR(10),"")&amp;
IF($O25&lt;&gt;"","Suggested Timeline "&amp;CHAR(10)&amp;$O25&amp;CHAR(10)&amp;CHAR(10),"")&amp;
IF($P25&lt;&gt;"","Guardrails "&amp;CHAR(10)&amp;$P25&amp;CHAR(10)&amp;CHAR(10),"")&amp;
IF($Q25&lt;&gt;"","Completion signals "&amp;CHAR(10)&amp;$Q25,"")</f>
        <v>Purpose 
Coverage for Jay Hernandez at LIJ. Nicholas Valentin provides remote support today as needed.
Stops (in order) 
1) AM check-in with Jay/Hospital stakeholders 2) Cover tickets/issues 3) Document handoffs 4) EOD status update
To-Do (hard requirements) 
Access/credentials, ticket queue access, contact list, escalation path.
Suggested Timeline 
08:00 check-in; 12:00 midpoint status; 16:30 handoff notes; 17:00 wrap.
Guardrails 
Escalate blockers early; keep notes crisp; ensure handoff continuity.
Completion signals 
Coverage provided; issues progressed/resolved; handoff notes posted.</v>
      </c>
      <c r="S25" s="25"/>
      <c r="T25" s="25"/>
      <c r="U25" s="8"/>
      <c r="V25" s="8" t="str">
        <f>_xlfn.SINGLE(IF($B25 = "", "", IF(_xlfn.SINGLE(_xlfn.TEXTJOIN(" | ", TRUE, IF($B25 = "", "Missing Title", ""), IF($C25 = "", "Missing Date", ""), IF($D25 = "", "Missing Start", ""), IF($E25 = "", "Missing End", ""), IF($G25 = "", "Missing Required Attendees", ""), IF($T25 = "", "Missing Status", ""), IF(AND($D25 &lt;&gt; "", $E25 &lt;&gt; "", $D25 &gt;= $E25), "Start&gt;=End", ""), IF(OR($R25 = "", LEN($R25) &lt; 60, ISNUMBER(MATCH(TRIM($R25), StatusList, 0))), "Body overwritten/short", ""))) = "", "OK", _xlfn.TEXTJOIN(" | ", TRUE, IF($B25 = "", "Missing Title", ""), IF($C25 = "", "Missing Date", ""), IF($D25 = "", "Missing Start", ""), IF($E25 = "", "Missing End", ""), IF($G25 = "", "Missing Required Attendees", ""), IF($T25 = "", "Missing Status", ""), IF(AND($D25 &lt;&gt; "", $E25 &lt;&gt; "", $D25 &gt;= $E25), "Start&gt;=End", ""), IF(OR($R25 = "", LEN($R25) &lt; 60, ISNUMBER(MATCH(TRIM($R25), StatusList, 0))), "Body overwritten/short", "")))))</f>
        <v>Missing Status</v>
      </c>
    </row>
    <row r="26" spans="1:22" ht="15" customHeight="1">
      <c r="A26" s="12" t="str">
        <f>IF(AND($B26&lt;&gt;"",$C26&lt;&gt;"",$D26&lt;&gt;"",$E26&lt;&gt;"",$G26&lt;&gt;""),
UPPER(
LEFT(TRIM(LEFT($G26,IFERROR(FIND(";",$G26)-1,999))),1)&amp;
IFERROR(
MID(TRIM(LEFT($G26,IFERROR(FIND(";",$G26)-1,999))),
FIND(" ",TRIM(LEFT($G26,IFERROR(FIND(";",$G26)-1,999))))+1,1),
MID(TRIM(LEFT($G26,IFERROR(FIND(";",$G26)-1,999))),2,1)
)
)&amp;"-"&amp;TEXT($C26,"yyyy-mm-dd"),
"")</f>
        <v>CH-2026-02-25</v>
      </c>
      <c r="B26" s="25" t="s">
        <v>257</v>
      </c>
      <c r="C26" s="34">
        <v>46078</v>
      </c>
      <c r="D26" s="38">
        <v>0.33333333333333331</v>
      </c>
      <c r="E26" s="38">
        <v>0.70833333333333337</v>
      </c>
      <c r="F26" s="25" t="s">
        <v>58</v>
      </c>
      <c r="G26" s="25" t="s">
        <v>258</v>
      </c>
      <c r="H26" s="25" t="s">
        <v>259</v>
      </c>
      <c r="I26" s="25" t="s">
        <v>250</v>
      </c>
      <c r="J26" s="25" t="s">
        <v>62</v>
      </c>
      <c r="K26" s="25">
        <v>15</v>
      </c>
      <c r="L26" s="25" t="s">
        <v>260</v>
      </c>
      <c r="M26" s="25" t="s">
        <v>261</v>
      </c>
      <c r="N26" s="25" t="s">
        <v>262</v>
      </c>
      <c r="O26" s="25" t="s">
        <v>254</v>
      </c>
      <c r="P26" s="25" t="s">
        <v>263</v>
      </c>
      <c r="Q26" s="25" t="s">
        <v>264</v>
      </c>
      <c r="R26" s="16" t="str">
        <f>IF($L26&lt;&gt;"","Purpose "&amp;CHAR(10)&amp;$L26&amp;CHAR(10)&amp;CHAR(10),"")&amp;
IF($M26&lt;&gt;"","Stops (in order) "&amp;CHAR(10)&amp;$M26&amp;CHAR(10)&amp;CHAR(10),"")&amp;
IF($N26&lt;&gt;"","To-Do (hard requirements) "&amp;CHAR(10)&amp;$N26&amp;CHAR(10)&amp;CHAR(10),"")&amp;
IF($O26&lt;&gt;"","Suggested Timeline "&amp;CHAR(10)&amp;$O26&amp;CHAR(10)&amp;CHAR(10),"")&amp;
IF($P26&lt;&gt;"","Guardrails "&amp;CHAR(10)&amp;$P26&amp;CHAR(10)&amp;CHAR(10),"")&amp;
IF($Q26&lt;&gt;"","Completion signals "&amp;CHAR(10)&amp;$Q26,"")</f>
        <v>Purpose 
Coverage for Jay Hernandez at LIJ.
Stops (in order) 
1) AM check-in 2) Cover tickets/issues 3) Document handoffs 4) EOD status update
To-Do (hard requirements) 
Access/credentials, ticket queue access, contact list.
Suggested Timeline 
08:00 check-in; 12:00 midpoint status; 16:30 handoff notes; 17:00 wrap.
Guardrails 
Keep handoffs tight; escalate blockers early.
Completion signals 
Coverage provided; handoff notes posted.</v>
      </c>
      <c r="S26" s="25"/>
      <c r="T26" s="25"/>
      <c r="U26" s="8"/>
      <c r="V26" s="8" t="str">
        <f>_xlfn.SINGLE(IF($B26 = "", "", IF(_xlfn.SINGLE(_xlfn.TEXTJOIN(" | ", TRUE, IF($B26 = "", "Missing Title", ""), IF($C26 = "", "Missing Date", ""), IF($D26 = "", "Missing Start", ""), IF($E26 = "", "Missing End", ""), IF($G26 = "", "Missing Required Attendees", ""), IF($T26 = "", "Missing Status", ""), IF(AND($D26 &lt;&gt; "", $E26 &lt;&gt; "", $D26 &gt;= $E26), "Start&gt;=End", ""), IF(OR($R26 = "", LEN($R26) &lt; 60, ISNUMBER(MATCH(TRIM($R26), StatusList, 0))), "Body overwritten/short", ""))) = "", "OK", _xlfn.TEXTJOIN(" | ", TRUE, IF($B26 = "", "Missing Title", ""), IF($C26 = "", "Missing Date", ""), IF($D26 = "", "Missing Start", ""), IF($E26 = "", "Missing End", ""), IF($G26 = "", "Missing Required Attendees", ""), IF($T26 = "", "Missing Status", ""), IF(AND($D26 &lt;&gt; "", $E26 &lt;&gt; "", $D26 &gt;= $E26), "Start&gt;=End", ""), IF(OR($R26 = "", LEN($R26) &lt; 60, ISNUMBER(MATCH(TRIM($R26), StatusList, 0))), "Body overwritten/short", "")))))</f>
        <v>Missing Status</v>
      </c>
    </row>
    <row r="27" spans="1:22" ht="15" customHeight="1">
      <c r="A27" s="12" t="str">
        <f>IF(AND($B27&lt;&gt;"",$C27&lt;&gt;"",$D27&lt;&gt;"",$E27&lt;&gt;"",$G27&lt;&gt;""),
UPPER(
LEFT(TRIM(LEFT($G27,IFERROR(FIND(";",$G27)-1,999))),1)&amp;
IFERROR(
MID(TRIM(LEFT($G27,IFERROR(FIND(";",$G27)-1,999))),
FIND(" ",TRIM(LEFT($G27,IFERROR(FIND(";",$G27)-1,999))))+1,1),
MID(TRIM(LEFT($G27,IFERROR(FIND(";",$G27)-1,999))),2,1)
)
)&amp;"-"&amp;TEXT($C27,"yyyy-mm-dd"),
"")</f>
        <v>PM-2026-02-26</v>
      </c>
      <c r="B27" s="25" t="s">
        <v>248</v>
      </c>
      <c r="C27" s="34">
        <v>46079</v>
      </c>
      <c r="D27" s="38">
        <v>0.33333333333333331</v>
      </c>
      <c r="E27" s="38">
        <v>0.70833333333333337</v>
      </c>
      <c r="F27" s="25" t="s">
        <v>58</v>
      </c>
      <c r="G27" s="25" t="s">
        <v>105</v>
      </c>
      <c r="H27" s="25" t="s">
        <v>259</v>
      </c>
      <c r="I27" s="25" t="s">
        <v>250</v>
      </c>
      <c r="J27" s="25" t="s">
        <v>62</v>
      </c>
      <c r="K27" s="25">
        <v>15</v>
      </c>
      <c r="L27" s="25" t="s">
        <v>260</v>
      </c>
      <c r="M27" s="25" t="s">
        <v>261</v>
      </c>
      <c r="N27" s="25" t="s">
        <v>262</v>
      </c>
      <c r="O27" s="25" t="s">
        <v>254</v>
      </c>
      <c r="P27" s="25" t="s">
        <v>263</v>
      </c>
      <c r="Q27" s="25" t="s">
        <v>264</v>
      </c>
      <c r="R27" s="16" t="str">
        <f>IF($L27&lt;&gt;"","Purpose "&amp;CHAR(10)&amp;$L27&amp;CHAR(10)&amp;CHAR(10),"")&amp;
IF($M27&lt;&gt;"","Stops (in order) "&amp;CHAR(10)&amp;$M27&amp;CHAR(10)&amp;CHAR(10),"")&amp;
IF($N27&lt;&gt;"","To-Do (hard requirements) "&amp;CHAR(10)&amp;$N27&amp;CHAR(10)&amp;CHAR(10),"")&amp;
IF($O27&lt;&gt;"","Suggested Timeline "&amp;CHAR(10)&amp;$O27&amp;CHAR(10)&amp;CHAR(10),"")&amp;
IF($P27&lt;&gt;"","Guardrails "&amp;CHAR(10)&amp;$P27&amp;CHAR(10)&amp;CHAR(10),"")&amp;
IF($Q27&lt;&gt;"","Completion signals "&amp;CHAR(10)&amp;$Q27,"")</f>
        <v>Purpose 
Coverage for Jay Hernandez at LIJ.
Stops (in order) 
1) AM check-in 2) Cover tickets/issues 3) Document handoffs 4) EOD status update
To-Do (hard requirements) 
Access/credentials, ticket queue access, contact list.
Suggested Timeline 
08:00 check-in; 12:00 midpoint status; 16:30 handoff notes; 17:00 wrap.
Guardrails 
Keep handoffs tight; escalate blockers early.
Completion signals 
Coverage provided; handoff notes posted.</v>
      </c>
      <c r="S27" s="25"/>
      <c r="T27" s="25"/>
      <c r="U27" s="8"/>
      <c r="V27" s="8" t="str">
        <f>_xlfn.SINGLE(IF($B27 = "", "", IF(_xlfn.SINGLE(_xlfn.TEXTJOIN(" | ", TRUE, IF($B27 = "", "Missing Title", ""), IF($C27 = "", "Missing Date", ""), IF($D27 = "", "Missing Start", ""), IF($E27 = "", "Missing End", ""), IF($G27 = "", "Missing Required Attendees", ""), IF($T27 = "", "Missing Status", ""), IF(AND($D27 &lt;&gt; "", $E27 &lt;&gt; "", $D27 &gt;= $E27), "Start&gt;=End", ""), IF(OR($R27 = "", LEN($R27) &lt; 60, ISNUMBER(MATCH(TRIM($R27), StatusList, 0))), "Body overwritten/short", ""))) = "", "OK", _xlfn.TEXTJOIN(" | ", TRUE, IF($B27 = "", "Missing Title", ""), IF($C27 = "", "Missing Date", ""), IF($D27 = "", "Missing Start", ""), IF($E27 = "", "Missing End", ""), IF($G27 = "", "Missing Required Attendees", ""), IF($T27 = "", "Missing Status", ""), IF(AND($D27 &lt;&gt; "", $E27 &lt;&gt; "", $D27 &gt;= $E27), "Start&gt;=End", ""), IF(OR($R27 = "", LEN($R27) &lt; 60, ISNUMBER(MATCH(TRIM($R27), StatusList, 0))), "Body overwritten/short", "")))))</f>
        <v>Missing Status</v>
      </c>
    </row>
    <row r="28" spans="1:22" ht="15" customHeight="1">
      <c r="A28" s="12" t="str">
        <f>IF(AND($B28&lt;&gt;"",$C28&lt;&gt;"",$D28&lt;&gt;"",$E28&lt;&gt;"",$G28&lt;&gt;""),
UPPER(
LEFT(TRIM(LEFT($G28,IFERROR(FIND(";",$G28)-1,999))),1)&amp;
IFERROR(
MID(TRIM(LEFT($G28,IFERROR(FIND(";",$G28)-1,999))),
FIND(" ",TRIM(LEFT($G28,IFERROR(FIND(";",$G28)-1,999))))+1,1),
MID(TRIM(LEFT($G28,IFERROR(FIND(";",$G28)-1,999))),2,1)
)
)&amp;"-"&amp;TEXT($C28,"yyyy-mm-dd"),
"")</f>
        <v>CH-2026-02-27</v>
      </c>
      <c r="B28" s="25" t="s">
        <v>257</v>
      </c>
      <c r="C28" s="34">
        <v>46080</v>
      </c>
      <c r="D28" s="38">
        <v>0.33333333333333331</v>
      </c>
      <c r="E28" s="38">
        <v>0.70833333333333337</v>
      </c>
      <c r="F28" s="25" t="s">
        <v>58</v>
      </c>
      <c r="G28" s="25" t="s">
        <v>258</v>
      </c>
      <c r="H28" s="25" t="s">
        <v>259</v>
      </c>
      <c r="I28" s="25" t="s">
        <v>250</v>
      </c>
      <c r="J28" s="25" t="s">
        <v>62</v>
      </c>
      <c r="K28" s="25">
        <v>15</v>
      </c>
      <c r="L28" s="25" t="s">
        <v>260</v>
      </c>
      <c r="M28" s="25" t="s">
        <v>261</v>
      </c>
      <c r="N28" s="25" t="s">
        <v>262</v>
      </c>
      <c r="O28" s="25" t="s">
        <v>254</v>
      </c>
      <c r="P28" s="25" t="s">
        <v>263</v>
      </c>
      <c r="Q28" s="25" t="s">
        <v>264</v>
      </c>
      <c r="R28" s="16" t="str">
        <f>IF($L28&lt;&gt;"","Purpose "&amp;CHAR(10)&amp;$L28&amp;CHAR(10)&amp;CHAR(10),"")&amp;
IF($M28&lt;&gt;"","Stops (in order) "&amp;CHAR(10)&amp;$M28&amp;CHAR(10)&amp;CHAR(10),"")&amp;
IF($N28&lt;&gt;"","To-Do (hard requirements) "&amp;CHAR(10)&amp;$N28&amp;CHAR(10)&amp;CHAR(10),"")&amp;
IF($O28&lt;&gt;"","Suggested Timeline "&amp;CHAR(10)&amp;$O28&amp;CHAR(10)&amp;CHAR(10),"")&amp;
IF($P28&lt;&gt;"","Guardrails "&amp;CHAR(10)&amp;$P28&amp;CHAR(10)&amp;CHAR(10),"")&amp;
IF($Q28&lt;&gt;"","Completion signals "&amp;CHAR(10)&amp;$Q28,"")</f>
        <v>Purpose 
Coverage for Jay Hernandez at LIJ.
Stops (in order) 
1) AM check-in 2) Cover tickets/issues 3) Document handoffs 4) EOD status update
To-Do (hard requirements) 
Access/credentials, ticket queue access, contact list.
Suggested Timeline 
08:00 check-in; 12:00 midpoint status; 16:30 handoff notes; 17:00 wrap.
Guardrails 
Keep handoffs tight; escalate blockers early.
Completion signals 
Coverage provided; handoff notes posted.</v>
      </c>
      <c r="S28" s="25"/>
      <c r="T28" s="25"/>
      <c r="U28" s="8"/>
      <c r="V28" s="8" t="str">
        <f>_xlfn.SINGLE(IF($B28 = "", "", IF(_xlfn.SINGLE(_xlfn.TEXTJOIN(" | ", TRUE, IF($B28 = "", "Missing Title", ""), IF($C28 = "", "Missing Date", ""), IF($D28 = "", "Missing Start", ""), IF($E28 = "", "Missing End", ""), IF($G28 = "", "Missing Required Attendees", ""), IF($T28 = "", "Missing Status", ""), IF(AND($D28 &lt;&gt; "", $E28 &lt;&gt; "", $D28 &gt;= $E28), "Start&gt;=End", ""), IF(OR($R28 = "", LEN($R28) &lt; 60, ISNUMBER(MATCH(TRIM($R28), StatusList, 0))), "Body overwritten/short", ""))) = "", "OK", _xlfn.TEXTJOIN(" | ", TRUE, IF($B28 = "", "Missing Title", ""), IF($C28 = "", "Missing Date", ""), IF($D28 = "", "Missing Start", ""), IF($E28 = "", "Missing End", ""), IF($G28 = "", "Missing Required Attendees", ""), IF($T28 = "", "Missing Status", ""), IF(AND($D28 &lt;&gt; "", $E28 &lt;&gt; "", $D28 &gt;= $E28), "Start&gt;=End", ""), IF(OR($R28 = "", LEN($R28) &lt; 60, ISNUMBER(MATCH(TRIM($R28), StatusList, 0))), "Body overwritten/short", "")))))</f>
        <v>Missing Status</v>
      </c>
    </row>
    <row r="29" spans="1:22" ht="15" customHeight="1">
      <c r="A29" s="12" t="str">
        <f>IF(AND($B29&lt;&gt;"",$C29&lt;&gt;"",$D29&lt;&gt;"",$E29&lt;&gt;"",$G29&lt;&gt;""),
UPPER(
LEFT(TRIM(LEFT($G29,IFERROR(FIND(";",$G29)-1,999))),1)&amp;
IFERROR(
MID(TRIM(LEFT($G29,IFERROR(FIND(";",$G29)-1,999))),
FIND(" ",TRIM(LEFT($G29,IFERROR(FIND(";",$G29)-1,999))))+1,1),
MID(TRIM(LEFT($G29,IFERROR(FIND(";",$G29)-1,999))),2,1)
)
)&amp;"-"&amp;TEXT($C29,"yyyy-mm-dd"),
"")</f>
        <v/>
      </c>
      <c r="B29" s="25"/>
      <c r="C29" s="34"/>
      <c r="D29" s="38"/>
      <c r="E29" s="38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16" t="str">
        <f>IF($L29&lt;&gt;"","Purpose "&amp;CHAR(10)&amp;$L29&amp;CHAR(10)&amp;CHAR(10),"")&amp;
IF($M29&lt;&gt;"","Stops (in order) "&amp;CHAR(10)&amp;$M29&amp;CHAR(10)&amp;CHAR(10),"")&amp;
IF($N29&lt;&gt;"","To-Do (hard requirements) "&amp;CHAR(10)&amp;$N29&amp;CHAR(10)&amp;CHAR(10),"")&amp;
IF($O29&lt;&gt;"","Suggested Timeline "&amp;CHAR(10)&amp;$O29&amp;CHAR(10)&amp;CHAR(10),"")&amp;
IF($P29&lt;&gt;"","Guardrails "&amp;CHAR(10)&amp;$P29&amp;CHAR(10)&amp;CHAR(10),"")&amp;
IF($Q29&lt;&gt;"","Completion signals "&amp;CHAR(10)&amp;$Q29,"")</f>
        <v/>
      </c>
      <c r="S29" s="25"/>
      <c r="T29" s="25"/>
      <c r="U29" s="8"/>
      <c r="V29" s="8" t="str">
        <f>_xlfn.SINGLE(IF($B29 = "", "", IF(_xlfn.SINGLE(_xlfn.TEXTJOIN(" | ", TRUE, IF($B29 = "", "Missing Title", ""), IF($C29 = "", "Missing Date", ""), IF($D29 = "", "Missing Start", ""), IF($E29 = "", "Missing End", ""), IF($G29 = "", "Missing Required Attendees", ""), IF($T29 = "", "Missing Status", ""), IF(AND($D29 &lt;&gt; "", $E29 &lt;&gt; "", $D29 &gt;= $E29), "Start&gt;=End", ""), IF(OR($R29 = "", LEN($R29) &lt; 60, ISNUMBER(MATCH(TRIM($R29), StatusList, 0))), "Body overwritten/short", ""))) = "", "OK", _xlfn.TEXTJOIN(" | ", TRUE, IF($B29 = "", "Missing Title", ""), IF($C29 = "", "Missing Date", ""), IF($D29 = "", "Missing Start", ""), IF($E29 = "", "Missing End", ""), IF($G29 = "", "Missing Required Attendees", ""), IF($T29 = "", "Missing Status", ""), IF(AND($D29 &lt;&gt; "", $E29 &lt;&gt; "", $D29 &gt;= $E29), "Start&gt;=End", ""), IF(OR($R29 = "", LEN($R29) &lt; 60, ISNUMBER(MATCH(TRIM($R29), StatusList, 0))), "Body overwritten/short", "")))))</f>
        <v/>
      </c>
    </row>
    <row r="30" spans="1:22" ht="15" customHeight="1">
      <c r="A30" s="12" t="str">
        <f>IF(AND($B30&lt;&gt;"",$C30&lt;&gt;"",$D30&lt;&gt;"",$E30&lt;&gt;"",$G30&lt;&gt;""),
UPPER(
LEFT(TRIM(LEFT($G30,IFERROR(FIND(";",$G30)-1,999))),1)&amp;
IFERROR(
MID(TRIM(LEFT($G30,IFERROR(FIND(";",$G30)-1,999))),
FIND(" ",TRIM(LEFT($G30,IFERROR(FIND(";",$G30)-1,999))))+1,1),
MID(TRIM(LEFT($G30,IFERROR(FIND(";",$G30)-1,999))),2,1)
)
)&amp;"-"&amp;TEXT($C30,"yyyy-mm-dd"),
"")</f>
        <v/>
      </c>
      <c r="B30" s="25"/>
      <c r="C30" s="34"/>
      <c r="D30" s="38"/>
      <c r="E30" s="38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16" t="str">
        <f>IF($L30&lt;&gt;"","Purpose "&amp;CHAR(10)&amp;$L30&amp;CHAR(10)&amp;CHAR(10),"")&amp;
IF($M30&lt;&gt;"","Stops (in order) "&amp;CHAR(10)&amp;$M30&amp;CHAR(10)&amp;CHAR(10),"")&amp;
IF($N30&lt;&gt;"","To-Do (hard requirements) "&amp;CHAR(10)&amp;$N30&amp;CHAR(10)&amp;CHAR(10),"")&amp;
IF($O30&lt;&gt;"","Suggested Timeline "&amp;CHAR(10)&amp;$O30&amp;CHAR(10)&amp;CHAR(10),"")&amp;
IF($P30&lt;&gt;"","Guardrails "&amp;CHAR(10)&amp;$P30&amp;CHAR(10)&amp;CHAR(10),"")&amp;
IF($Q30&lt;&gt;"","Completion signals "&amp;CHAR(10)&amp;$Q30,"")</f>
        <v/>
      </c>
      <c r="S30" s="25"/>
      <c r="T30" s="25"/>
      <c r="U30" s="8"/>
      <c r="V30" s="8" t="str">
        <f>_xlfn.SINGLE(IF($B30 = "", "", IF(_xlfn.SINGLE(_xlfn.TEXTJOIN(" | ", TRUE, IF($B30 = "", "Missing Title", ""), IF($C30 = "", "Missing Date", ""), IF($D30 = "", "Missing Start", ""), IF($E30 = "", "Missing End", ""), IF($G30 = "", "Missing Required Attendees", ""), IF($T30 = "", "Missing Status", ""), IF(AND($D30 &lt;&gt; "", $E30 &lt;&gt; "", $D30 &gt;= $E30), "Start&gt;=End", ""), IF(OR($R30 = "", LEN($R30) &lt; 60, ISNUMBER(MATCH(TRIM($R30), StatusList, 0))), "Body overwritten/short", ""))) = "", "OK", _xlfn.TEXTJOIN(" | ", TRUE, IF($B30 = "", "Missing Title", ""), IF($C30 = "", "Missing Date", ""), IF($D30 = "", "Missing Start", ""), IF($E30 = "", "Missing End", ""), IF($G30 = "", "Missing Required Attendees", ""), IF($T30 = "", "Missing Status", ""), IF(AND($D30 &lt;&gt; "", $E30 &lt;&gt; "", $D30 &gt;= $E30), "Start&gt;=End", ""), IF(OR($R30 = "", LEN($R30) &lt; 60, ISNUMBER(MATCH(TRIM($R30), StatusList, 0))), "Body overwritten/short", "")))))</f>
        <v/>
      </c>
    </row>
    <row r="31" spans="1:22" ht="15" customHeight="1">
      <c r="A31" s="12" t="str">
        <f>IF(AND($B31&lt;&gt;"",$C31&lt;&gt;"",$D31&lt;&gt;"",$E31&lt;&gt;"",$G31&lt;&gt;""),
UPPER(
LEFT(TRIM(LEFT($G31,IFERROR(FIND(";",$G31)-1,999))),1)&amp;
IFERROR(
MID(TRIM(LEFT($G31,IFERROR(FIND(";",$G31)-1,999))),
FIND(" ",TRIM(LEFT($G31,IFERROR(FIND(";",$G31)-1,999))))+1,1),
MID(TRIM(LEFT($G31,IFERROR(FIND(";",$G31)-1,999))),2,1)
)
)&amp;"-"&amp;TEXT($C31,"yyyy-mm-dd"),
"")</f>
        <v/>
      </c>
      <c r="B31" s="25"/>
      <c r="C31" s="34"/>
      <c r="D31" s="38"/>
      <c r="E31" s="38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16" t="str">
        <f>IF($L31&lt;&gt;"","Purpose "&amp;CHAR(10)&amp;$L31&amp;CHAR(10)&amp;CHAR(10),"")&amp;
IF($M31&lt;&gt;"","Stops (in order) "&amp;CHAR(10)&amp;$M31&amp;CHAR(10)&amp;CHAR(10),"")&amp;
IF($N31&lt;&gt;"","To-Do (hard requirements) "&amp;CHAR(10)&amp;$N31&amp;CHAR(10)&amp;CHAR(10),"")&amp;
IF($O31&lt;&gt;"","Suggested Timeline "&amp;CHAR(10)&amp;$O31&amp;CHAR(10)&amp;CHAR(10),"")&amp;
IF($P31&lt;&gt;"","Guardrails "&amp;CHAR(10)&amp;$P31&amp;CHAR(10)&amp;CHAR(10),"")&amp;
IF($Q31&lt;&gt;"","Completion signals "&amp;CHAR(10)&amp;$Q31,"")</f>
        <v/>
      </c>
      <c r="S31" s="25"/>
      <c r="T31" s="25"/>
      <c r="U31" s="8"/>
      <c r="V31" s="8" t="str">
        <f>_xlfn.SINGLE(IF($B31 = "", "", IF(_xlfn.SINGLE(_xlfn.TEXTJOIN(" | ", TRUE, IF($B31 = "", "Missing Title", ""), IF($C31 = "", "Missing Date", ""), IF($D31 = "", "Missing Start", ""), IF($E31 = "", "Missing End", ""), IF($G31 = "", "Missing Required Attendees", ""), IF($T31 = "", "Missing Status", ""), IF(AND($D31 &lt;&gt; "", $E31 &lt;&gt; "", $D31 &gt;= $E31), "Start&gt;=End", ""), IF(OR($R31 = "", LEN($R31) &lt; 60, ISNUMBER(MATCH(TRIM($R31), StatusList, 0))), "Body overwritten/short", ""))) = "", "OK", _xlfn.TEXTJOIN(" | ", TRUE, IF($B31 = "", "Missing Title", ""), IF($C31 = "", "Missing Date", ""), IF($D31 = "", "Missing Start", ""), IF($E31 = "", "Missing End", ""), IF($G31 = "", "Missing Required Attendees", ""), IF($T31 = "", "Missing Status", ""), IF(AND($D31 &lt;&gt; "", $E31 &lt;&gt; "", $D31 &gt;= $E31), "Start&gt;=End", ""), IF(OR($R31 = "", LEN($R31) &lt; 60, ISNUMBER(MATCH(TRIM($R31), StatusList, 0))), "Body overwritten/short", "")))))</f>
        <v/>
      </c>
    </row>
    <row r="32" spans="1:22" ht="15" customHeight="1">
      <c r="A32" s="12" t="str">
        <f>IF(AND($B32&lt;&gt;"",$C32&lt;&gt;"",$D32&lt;&gt;"",$E32&lt;&gt;"",$G32&lt;&gt;""),
UPPER(
LEFT(TRIM(LEFT($G32,IFERROR(FIND(";",$G32)-1,999))),1)&amp;
IFERROR(
MID(TRIM(LEFT($G32,IFERROR(FIND(";",$G32)-1,999))),
FIND(" ",TRIM(LEFT($G32,IFERROR(FIND(";",$G32)-1,999))))+1,1),
MID(TRIM(LEFT($G32,IFERROR(FIND(";",$G32)-1,999))),2,1)
)
)&amp;"-"&amp;TEXT($C32,"yyyy-mm-dd"),
"")</f>
        <v/>
      </c>
      <c r="B32" s="25"/>
      <c r="C32" s="34"/>
      <c r="D32" s="38"/>
      <c r="E32" s="38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16" t="str">
        <f>IF($L32&lt;&gt;"","Purpose "&amp;CHAR(10)&amp;$L32&amp;CHAR(10)&amp;CHAR(10),"")&amp;
IF($M32&lt;&gt;"","Stops (in order) "&amp;CHAR(10)&amp;$M32&amp;CHAR(10)&amp;CHAR(10),"")&amp;
IF($N32&lt;&gt;"","To-Do (hard requirements) "&amp;CHAR(10)&amp;$N32&amp;CHAR(10)&amp;CHAR(10),"")&amp;
IF($O32&lt;&gt;"","Suggested Timeline "&amp;CHAR(10)&amp;$O32&amp;CHAR(10)&amp;CHAR(10),"")&amp;
IF($P32&lt;&gt;"","Guardrails "&amp;CHAR(10)&amp;$P32&amp;CHAR(10)&amp;CHAR(10),"")&amp;
IF($Q32&lt;&gt;"","Completion signals "&amp;CHAR(10)&amp;$Q32,"")</f>
        <v/>
      </c>
      <c r="S32" s="25"/>
      <c r="T32" s="25"/>
      <c r="U32" s="8"/>
      <c r="V32" s="8" t="str">
        <f>_xlfn.SINGLE(IF($B32 = "", "", IF(_xlfn.SINGLE(_xlfn.TEXTJOIN(" | ", TRUE, IF($B32 = "", "Missing Title", ""), IF($C32 = "", "Missing Date", ""), IF($D32 = "", "Missing Start", ""), IF($E32 = "", "Missing End", ""), IF($G32 = "", "Missing Required Attendees", ""), IF($T32 = "", "Missing Status", ""), IF(AND($D32 &lt;&gt; "", $E32 &lt;&gt; "", $D32 &gt;= $E32), "Start&gt;=End", ""), IF(OR($R32 = "", LEN($R32) &lt; 60, ISNUMBER(MATCH(TRIM($R32), StatusList, 0))), "Body overwritten/short", ""))) = "", "OK", _xlfn.TEXTJOIN(" | ", TRUE, IF($B32 = "", "Missing Title", ""), IF($C32 = "", "Missing Date", ""), IF($D32 = "", "Missing Start", ""), IF($E32 = "", "Missing End", ""), IF($G32 = "", "Missing Required Attendees", ""), IF($T32 = "", "Missing Status", ""), IF(AND($D32 &lt;&gt; "", $E32 &lt;&gt; "", $D32 &gt;= $E32), "Start&gt;=End", ""), IF(OR($R32 = "", LEN($R32) &lt; 60, ISNUMBER(MATCH(TRIM($R32), StatusList, 0))), "Body overwritten/short", "")))))</f>
        <v/>
      </c>
    </row>
    <row r="33" spans="1:22" ht="15" customHeight="1">
      <c r="A33" s="12" t="str">
        <f>IF(AND($B33&lt;&gt;"",$C33&lt;&gt;"",$D33&lt;&gt;"",$E33&lt;&gt;"",$G33&lt;&gt;""),
UPPER(
LEFT(TRIM(LEFT($G33,IFERROR(FIND(";",$G33)-1,999))),1)&amp;
IFERROR(
MID(TRIM(LEFT($G33,IFERROR(FIND(";",$G33)-1,999))),
FIND(" ",TRIM(LEFT($G33,IFERROR(FIND(";",$G33)-1,999))))+1,1),
MID(TRIM(LEFT($G33,IFERROR(FIND(";",$G33)-1,999))),2,1)
)
)&amp;"-"&amp;TEXT($C33,"yyyy-mm-dd"),
"")</f>
        <v/>
      </c>
      <c r="B33" s="25"/>
      <c r="C33" s="34"/>
      <c r="D33" s="38"/>
      <c r="E33" s="38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16" t="str">
        <f>IF($L33&lt;&gt;"","Purpose "&amp;CHAR(10)&amp;$L33&amp;CHAR(10)&amp;CHAR(10),"")&amp;
IF($M33&lt;&gt;"","Stops (in order) "&amp;CHAR(10)&amp;$M33&amp;CHAR(10)&amp;CHAR(10),"")&amp;
IF($N33&lt;&gt;"","To-Do (hard requirements) "&amp;CHAR(10)&amp;$N33&amp;CHAR(10)&amp;CHAR(10),"")&amp;
IF($O33&lt;&gt;"","Suggested Timeline "&amp;CHAR(10)&amp;$O33&amp;CHAR(10)&amp;CHAR(10),"")&amp;
IF($P33&lt;&gt;"","Guardrails "&amp;CHAR(10)&amp;$P33&amp;CHAR(10)&amp;CHAR(10),"")&amp;
IF($Q33&lt;&gt;"","Completion signals "&amp;CHAR(10)&amp;$Q33,"")</f>
        <v/>
      </c>
      <c r="S33" s="25"/>
      <c r="T33" s="25"/>
      <c r="U33" s="8"/>
      <c r="V33" s="8" t="str">
        <f>_xlfn.SINGLE(IF($B33 = "", "", IF(_xlfn.SINGLE(_xlfn.TEXTJOIN(" | ", TRUE, IF($B33 = "", "Missing Title", ""), IF($C33 = "", "Missing Date", ""), IF($D33 = "", "Missing Start", ""), IF($E33 = "", "Missing End", ""), IF($G33 = "", "Missing Required Attendees", ""), IF($T33 = "", "Missing Status", ""), IF(AND($D33 &lt;&gt; "", $E33 &lt;&gt; "", $D33 &gt;= $E33), "Start&gt;=End", ""), IF(OR($R33 = "", LEN($R33) &lt; 60, ISNUMBER(MATCH(TRIM($R33), StatusList, 0))), "Body overwritten/short", ""))) = "", "OK", _xlfn.TEXTJOIN(" | ", TRUE, IF($B33 = "", "Missing Title", ""), IF($C33 = "", "Missing Date", ""), IF($D33 = "", "Missing Start", ""), IF($E33 = "", "Missing End", ""), IF($G33 = "", "Missing Required Attendees", ""), IF($T33 = "", "Missing Status", ""), IF(AND($D33 &lt;&gt; "", $E33 &lt;&gt; "", $D33 &gt;= $E33), "Start&gt;=End", ""), IF(OR($R33 = "", LEN($R33) &lt; 60, ISNUMBER(MATCH(TRIM($R33), StatusList, 0))), "Body overwritten/short", "")))))</f>
        <v/>
      </c>
    </row>
    <row r="34" spans="1:22" ht="15" customHeight="1">
      <c r="A34" s="12" t="str">
        <f>IF(AND($B34&lt;&gt;"",$C34&lt;&gt;"",$D34&lt;&gt;"",$E34&lt;&gt;"",$G34&lt;&gt;""),
UPPER(
LEFT(TRIM(LEFT($G34,IFERROR(FIND(";",$G34)-1,999))),1)&amp;
IFERROR(
MID(TRIM(LEFT($G34,IFERROR(FIND(";",$G34)-1,999))),
FIND(" ",TRIM(LEFT($G34,IFERROR(FIND(";",$G34)-1,999))))+1,1),
MID(TRIM(LEFT($G34,IFERROR(FIND(";",$G34)-1,999))),2,1)
)
)&amp;"-"&amp;TEXT($C34,"yyyy-mm-dd"),
"")</f>
        <v/>
      </c>
      <c r="B34" s="25"/>
      <c r="C34" s="34"/>
      <c r="D34" s="38"/>
      <c r="E34" s="38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16" t="str">
        <f>IF($L34&lt;&gt;"","Purpose "&amp;CHAR(10)&amp;$L34&amp;CHAR(10)&amp;CHAR(10),"")&amp;
IF($M34&lt;&gt;"","Stops (in order) "&amp;CHAR(10)&amp;$M34&amp;CHAR(10)&amp;CHAR(10),"")&amp;
IF($N34&lt;&gt;"","To-Do (hard requirements) "&amp;CHAR(10)&amp;$N34&amp;CHAR(10)&amp;CHAR(10),"")&amp;
IF($O34&lt;&gt;"","Suggested Timeline "&amp;CHAR(10)&amp;$O34&amp;CHAR(10)&amp;CHAR(10),"")&amp;
IF($P34&lt;&gt;"","Guardrails "&amp;CHAR(10)&amp;$P34&amp;CHAR(10)&amp;CHAR(10),"")&amp;
IF($Q34&lt;&gt;"","Completion signals "&amp;CHAR(10)&amp;$Q34,"")</f>
        <v/>
      </c>
      <c r="S34" s="25"/>
      <c r="T34" s="25"/>
      <c r="U34" s="8"/>
      <c r="V34" s="8" t="str">
        <f>_xlfn.SINGLE(IF($B34 = "", "", IF(_xlfn.SINGLE(_xlfn.TEXTJOIN(" | ", TRUE, IF($B34 = "", "Missing Title", ""), IF($C34 = "", "Missing Date", ""), IF($D34 = "", "Missing Start", ""), IF($E34 = "", "Missing End", ""), IF($G34 = "", "Missing Required Attendees", ""), IF($T34 = "", "Missing Status", ""), IF(AND($D34 &lt;&gt; "", $E34 &lt;&gt; "", $D34 &gt;= $E34), "Start&gt;=End", ""), IF(OR($R34 = "", LEN($R34) &lt; 60, ISNUMBER(MATCH(TRIM($R34), StatusList, 0))), "Body overwritten/short", ""))) = "", "OK", _xlfn.TEXTJOIN(" | ", TRUE, IF($B34 = "", "Missing Title", ""), IF($C34 = "", "Missing Date", ""), IF($D34 = "", "Missing Start", ""), IF($E34 = "", "Missing End", ""), IF($G34 = "", "Missing Required Attendees", ""), IF($T34 = "", "Missing Status", ""), IF(AND($D34 &lt;&gt; "", $E34 &lt;&gt; "", $D34 &gt;= $E34), "Start&gt;=End", ""), IF(OR($R34 = "", LEN($R34) &lt; 60, ISNUMBER(MATCH(TRIM($R34), StatusList, 0))), "Body overwritten/short", "")))))</f>
        <v/>
      </c>
    </row>
    <row r="35" spans="1:22" ht="15" customHeight="1">
      <c r="A35" s="12" t="str">
        <f>IF(AND($B35&lt;&gt;"",$C35&lt;&gt;"",$D35&lt;&gt;"",$E35&lt;&gt;"",$G35&lt;&gt;""),
UPPER(
LEFT(TRIM(LEFT($G35,IFERROR(FIND(";",$G35)-1,999))),1)&amp;
IFERROR(
MID(TRIM(LEFT($G35,IFERROR(FIND(";",$G35)-1,999))),
FIND(" ",TRIM(LEFT($G35,IFERROR(FIND(";",$G35)-1,999))))+1,1),
MID(TRIM(LEFT($G35,IFERROR(FIND(";",$G35)-1,999))),2,1)
)
)&amp;"-"&amp;TEXT($C35,"yyyy-mm-dd"),
"")</f>
        <v/>
      </c>
      <c r="B35" s="25"/>
      <c r="C35" s="34"/>
      <c r="D35" s="38"/>
      <c r="E35" s="38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16" t="str">
        <f>IF($L35&lt;&gt;"","Purpose "&amp;CHAR(10)&amp;$L35&amp;CHAR(10)&amp;CHAR(10),"")&amp;
IF($M35&lt;&gt;"","Stops (in order) "&amp;CHAR(10)&amp;$M35&amp;CHAR(10)&amp;CHAR(10),"")&amp;
IF($N35&lt;&gt;"","To-Do (hard requirements) "&amp;CHAR(10)&amp;$N35&amp;CHAR(10)&amp;CHAR(10),"")&amp;
IF($O35&lt;&gt;"","Suggested Timeline "&amp;CHAR(10)&amp;$O35&amp;CHAR(10)&amp;CHAR(10),"")&amp;
IF($P35&lt;&gt;"","Guardrails "&amp;CHAR(10)&amp;$P35&amp;CHAR(10)&amp;CHAR(10),"")&amp;
IF($Q35&lt;&gt;"","Completion signals "&amp;CHAR(10)&amp;$Q35,"")</f>
        <v/>
      </c>
      <c r="S35" s="25"/>
      <c r="T35" s="25"/>
      <c r="U35" s="8"/>
      <c r="V35" s="8" t="str">
        <f>_xlfn.SINGLE(IF($B35 = "", "", IF(_xlfn.SINGLE(_xlfn.TEXTJOIN(" | ", TRUE, IF($B35 = "", "Missing Title", ""), IF($C35 = "", "Missing Date", ""), IF($D35 = "", "Missing Start", ""), IF($E35 = "", "Missing End", ""), IF($G35 = "", "Missing Required Attendees", ""), IF($T35 = "", "Missing Status", ""), IF(AND($D35 &lt;&gt; "", $E35 &lt;&gt; "", $D35 &gt;= $E35), "Start&gt;=End", ""), IF(OR($R35 = "", LEN($R35) &lt; 60, ISNUMBER(MATCH(TRIM($R35), StatusList, 0))), "Body overwritten/short", ""))) = "", "OK", _xlfn.TEXTJOIN(" | ", TRUE, IF($B35 = "", "Missing Title", ""), IF($C35 = "", "Missing Date", ""), IF($D35 = "", "Missing Start", ""), IF($E35 = "", "Missing End", ""), IF($G35 = "", "Missing Required Attendees", ""), IF($T35 = "", "Missing Status", ""), IF(AND($D35 &lt;&gt; "", $E35 &lt;&gt; "", $D35 &gt;= $E35), "Start&gt;=End", ""), IF(OR($R35 = "", LEN($R35) &lt; 60, ISNUMBER(MATCH(TRIM($R35), StatusList, 0))), "Body overwritten/short", "")))))</f>
        <v/>
      </c>
    </row>
    <row r="36" spans="1:22" ht="15" customHeight="1">
      <c r="A36" s="12" t="str">
        <f>IF(AND($B36&lt;&gt;"",$C36&lt;&gt;"",$D36&lt;&gt;"",$E36&lt;&gt;"",$G36&lt;&gt;""),
UPPER(
LEFT(TRIM(LEFT($G36,IFERROR(FIND(";",$G36)-1,999))),1)&amp;
IFERROR(
MID(TRIM(LEFT($G36,IFERROR(FIND(";",$G36)-1,999))),
FIND(" ",TRIM(LEFT($G36,IFERROR(FIND(";",$G36)-1,999))))+1,1),
MID(TRIM(LEFT($G36,IFERROR(FIND(";",$G36)-1,999))),2,1)
)
)&amp;"-"&amp;TEXT($C36,"yyyy-mm-dd"),
"")</f>
        <v/>
      </c>
      <c r="B36" s="25"/>
      <c r="C36" s="34"/>
      <c r="D36" s="38"/>
      <c r="E36" s="38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16" t="str">
        <f>IF($L36&lt;&gt;"","Purpose "&amp;CHAR(10)&amp;$L36&amp;CHAR(10)&amp;CHAR(10),"")&amp;
IF($M36&lt;&gt;"","Stops (in order) "&amp;CHAR(10)&amp;$M36&amp;CHAR(10)&amp;CHAR(10),"")&amp;
IF($N36&lt;&gt;"","To-Do (hard requirements) "&amp;CHAR(10)&amp;$N36&amp;CHAR(10)&amp;CHAR(10),"")&amp;
IF($O36&lt;&gt;"","Suggested Timeline "&amp;CHAR(10)&amp;$O36&amp;CHAR(10)&amp;CHAR(10),"")&amp;
IF($P36&lt;&gt;"","Guardrails "&amp;CHAR(10)&amp;$P36&amp;CHAR(10)&amp;CHAR(10),"")&amp;
IF($Q36&lt;&gt;"","Completion signals "&amp;CHAR(10)&amp;$Q36,"")</f>
        <v/>
      </c>
      <c r="S36" s="25"/>
      <c r="T36" s="25"/>
      <c r="U36" s="8"/>
      <c r="V36" s="8" t="str">
        <f>_xlfn.SINGLE(IF($B36 = "", "", IF(_xlfn.SINGLE(_xlfn.TEXTJOIN(" | ", TRUE, IF($B36 = "", "Missing Title", ""), IF($C36 = "", "Missing Date", ""), IF($D36 = "", "Missing Start", ""), IF($E36 = "", "Missing End", ""), IF($G36 = "", "Missing Required Attendees", ""), IF($T36 = "", "Missing Status", ""), IF(AND($D36 &lt;&gt; "", $E36 &lt;&gt; "", $D36 &gt;= $E36), "Start&gt;=End", ""), IF(OR($R36 = "", LEN($R36) &lt; 60, ISNUMBER(MATCH(TRIM($R36), StatusList, 0))), "Body overwritten/short", ""))) = "", "OK", _xlfn.TEXTJOIN(" | ", TRUE, IF($B36 = "", "Missing Title", ""), IF($C36 = "", "Missing Date", ""), IF($D36 = "", "Missing Start", ""), IF($E36 = "", "Missing End", ""), IF($G36 = "", "Missing Required Attendees", ""), IF($T36 = "", "Missing Status", ""), IF(AND($D36 &lt;&gt; "", $E36 &lt;&gt; "", $D36 &gt;= $E36), "Start&gt;=End", ""), IF(OR($R36 = "", LEN($R36) &lt; 60, ISNUMBER(MATCH(TRIM($R36), StatusList, 0))), "Body overwritten/short", "")))))</f>
        <v/>
      </c>
    </row>
    <row r="37" spans="1:22" ht="15" customHeight="1">
      <c r="A37" s="12" t="str">
        <f>IF(AND($B37&lt;&gt;"",$C37&lt;&gt;"",$D37&lt;&gt;"",$E37&lt;&gt;"",$G37&lt;&gt;""),
UPPER(
LEFT(TRIM(LEFT($G37,IFERROR(FIND(";",$G37)-1,999))),1)&amp;
IFERROR(
MID(TRIM(LEFT($G37,IFERROR(FIND(";",$G37)-1,999))),
FIND(" ",TRIM(LEFT($G37,IFERROR(FIND(";",$G37)-1,999))))+1,1),
MID(TRIM(LEFT($G37,IFERROR(FIND(";",$G37)-1,999))),2,1)
)
)&amp;"-"&amp;TEXT($C37,"yyyy-mm-dd"),
"")</f>
        <v/>
      </c>
      <c r="B37" s="25"/>
      <c r="C37" s="34"/>
      <c r="D37" s="38"/>
      <c r="E37" s="38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16" t="str">
        <f>IF($L37&lt;&gt;"","Purpose "&amp;CHAR(10)&amp;$L37&amp;CHAR(10)&amp;CHAR(10),"")&amp;
IF($M37&lt;&gt;"","Stops (in order) "&amp;CHAR(10)&amp;$M37&amp;CHAR(10)&amp;CHAR(10),"")&amp;
IF($N37&lt;&gt;"","To-Do (hard requirements) "&amp;CHAR(10)&amp;$N37&amp;CHAR(10)&amp;CHAR(10),"")&amp;
IF($O37&lt;&gt;"","Suggested Timeline "&amp;CHAR(10)&amp;$O37&amp;CHAR(10)&amp;CHAR(10),"")&amp;
IF($P37&lt;&gt;"","Guardrails "&amp;CHAR(10)&amp;$P37&amp;CHAR(10)&amp;CHAR(10),"")&amp;
IF($Q37&lt;&gt;"","Completion signals "&amp;CHAR(10)&amp;$Q37,"")</f>
        <v/>
      </c>
      <c r="S37" s="25"/>
      <c r="T37" s="25"/>
      <c r="U37" s="8"/>
      <c r="V37" s="8" t="str">
        <f>_xlfn.SINGLE(IF($B37 = "", "", IF(_xlfn.SINGLE(_xlfn.TEXTJOIN(" | ", TRUE, IF($B37 = "", "Missing Title", ""), IF($C37 = "", "Missing Date", ""), IF($D37 = "", "Missing Start", ""), IF($E37 = "", "Missing End", ""), IF($G37 = "", "Missing Required Attendees", ""), IF($T37 = "", "Missing Status", ""), IF(AND($D37 &lt;&gt; "", $E37 &lt;&gt; "", $D37 &gt;= $E37), "Start&gt;=End", ""), IF(OR($R37 = "", LEN($R37) &lt; 60, ISNUMBER(MATCH(TRIM($R37), StatusList, 0))), "Body overwritten/short", ""))) = "", "OK", _xlfn.TEXTJOIN(" | ", TRUE, IF($B37 = "", "Missing Title", ""), IF($C37 = "", "Missing Date", ""), IF($D37 = "", "Missing Start", ""), IF($E37 = "", "Missing End", ""), IF($G37 = "", "Missing Required Attendees", ""), IF($T37 = "", "Missing Status", ""), IF(AND($D37 &lt;&gt; "", $E37 &lt;&gt; "", $D37 &gt;= $E37), "Start&gt;=End", ""), IF(OR($R37 = "", LEN($R37) &lt; 60, ISNUMBER(MATCH(TRIM($R37), StatusList, 0))), "Body overwritten/short", "")))))</f>
        <v/>
      </c>
    </row>
    <row r="38" spans="1:22" ht="15" customHeight="1">
      <c r="A38" s="12" t="str">
        <f>IF(AND($B38&lt;&gt;"",$C38&lt;&gt;"",$D38&lt;&gt;"",$E38&lt;&gt;"",$G38&lt;&gt;""),
UPPER(
LEFT(TRIM(LEFT($G38,IFERROR(FIND(";",$G38)-1,999))),1)&amp;
IFERROR(
MID(TRIM(LEFT($G38,IFERROR(FIND(";",$G38)-1,999))),
FIND(" ",TRIM(LEFT($G38,IFERROR(FIND(";",$G38)-1,999))))+1,1),
MID(TRIM(LEFT($G38,IFERROR(FIND(";",$G38)-1,999))),2,1)
)
)&amp;"-"&amp;TEXT($C38,"yyyy-mm-dd"),
"")</f>
        <v/>
      </c>
      <c r="B38" s="25"/>
      <c r="C38" s="34"/>
      <c r="D38" s="38"/>
      <c r="E38" s="38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16" t="str">
        <f>IF($L38&lt;&gt;"","Purpose "&amp;CHAR(10)&amp;$L38&amp;CHAR(10)&amp;CHAR(10),"")&amp;
IF($M38&lt;&gt;"","Stops (in order) "&amp;CHAR(10)&amp;$M38&amp;CHAR(10)&amp;CHAR(10),"")&amp;
IF($N38&lt;&gt;"","To-Do (hard requirements) "&amp;CHAR(10)&amp;$N38&amp;CHAR(10)&amp;CHAR(10),"")&amp;
IF($O38&lt;&gt;"","Suggested Timeline "&amp;CHAR(10)&amp;$O38&amp;CHAR(10)&amp;CHAR(10),"")&amp;
IF($P38&lt;&gt;"","Guardrails "&amp;CHAR(10)&amp;$P38&amp;CHAR(10)&amp;CHAR(10),"")&amp;
IF($Q38&lt;&gt;"","Completion signals "&amp;CHAR(10)&amp;$Q38,"")</f>
        <v/>
      </c>
      <c r="S38" s="25"/>
      <c r="T38" s="25"/>
      <c r="U38" s="8"/>
      <c r="V38" s="8" t="str">
        <f>_xlfn.SINGLE(IF($B38 = "", "", IF(_xlfn.SINGLE(_xlfn.TEXTJOIN(" | ", TRUE, IF($B38 = "", "Missing Title", ""), IF($C38 = "", "Missing Date", ""), IF($D38 = "", "Missing Start", ""), IF($E38 = "", "Missing End", ""), IF($G38 = "", "Missing Required Attendees", ""), IF($T38 = "", "Missing Status", ""), IF(AND($D38 &lt;&gt; "", $E38 &lt;&gt; "", $D38 &gt;= $E38), "Start&gt;=End", ""), IF(OR($R38 = "", LEN($R38) &lt; 60, ISNUMBER(MATCH(TRIM($R38), StatusList, 0))), "Body overwritten/short", ""))) = "", "OK", _xlfn.TEXTJOIN(" | ", TRUE, IF($B38 = "", "Missing Title", ""), IF($C38 = "", "Missing Date", ""), IF($D38 = "", "Missing Start", ""), IF($E38 = "", "Missing End", ""), IF($G38 = "", "Missing Required Attendees", ""), IF($T38 = "", "Missing Status", ""), IF(AND($D38 &lt;&gt; "", $E38 &lt;&gt; "", $D38 &gt;= $E38), "Start&gt;=End", ""), IF(OR($R38 = "", LEN($R38) &lt; 60, ISNUMBER(MATCH(TRIM($R38), StatusList, 0))), "Body overwritten/short", "")))))</f>
        <v/>
      </c>
    </row>
    <row r="39" spans="1:22" ht="15" customHeight="1">
      <c r="A39" s="12" t="str">
        <f>IF(AND($B39&lt;&gt;"",$C39&lt;&gt;"",$D39&lt;&gt;"",$E39&lt;&gt;"",$G39&lt;&gt;""),
UPPER(
LEFT(TRIM(LEFT($G39,IFERROR(FIND(";",$G39)-1,999))),1)&amp;
IFERROR(
MID(TRIM(LEFT($G39,IFERROR(FIND(";",$G39)-1,999))),
FIND(" ",TRIM(LEFT($G39,IFERROR(FIND(";",$G39)-1,999))))+1,1),
MID(TRIM(LEFT($G39,IFERROR(FIND(";",$G39)-1,999))),2,1)
)
)&amp;"-"&amp;TEXT($C39,"yyyy-mm-dd"),
"")</f>
        <v/>
      </c>
      <c r="B39" s="25"/>
      <c r="C39" s="34"/>
      <c r="D39" s="38"/>
      <c r="E39" s="38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16" t="str">
        <f>IF($L39&lt;&gt;"","Purpose "&amp;CHAR(10)&amp;$L39&amp;CHAR(10)&amp;CHAR(10),"")&amp;
IF($M39&lt;&gt;"","Stops (in order) "&amp;CHAR(10)&amp;$M39&amp;CHAR(10)&amp;CHAR(10),"")&amp;
IF($N39&lt;&gt;"","To-Do (hard requirements) "&amp;CHAR(10)&amp;$N39&amp;CHAR(10)&amp;CHAR(10),"")&amp;
IF($O39&lt;&gt;"","Suggested Timeline "&amp;CHAR(10)&amp;$O39&amp;CHAR(10)&amp;CHAR(10),"")&amp;
IF($P39&lt;&gt;"","Guardrails "&amp;CHAR(10)&amp;$P39&amp;CHAR(10)&amp;CHAR(10),"")&amp;
IF($Q39&lt;&gt;"","Completion signals "&amp;CHAR(10)&amp;$Q39,"")</f>
        <v/>
      </c>
      <c r="S39" s="25"/>
      <c r="T39" s="25"/>
      <c r="U39" s="8"/>
      <c r="V39" s="8" t="str">
        <f>_xlfn.SINGLE(IF($B39 = "", "", IF(_xlfn.SINGLE(_xlfn.TEXTJOIN(" | ", TRUE, IF($B39 = "", "Missing Title", ""), IF($C39 = "", "Missing Date", ""), IF($D39 = "", "Missing Start", ""), IF($E39 = "", "Missing End", ""), IF($G39 = "", "Missing Required Attendees", ""), IF($T39 = "", "Missing Status", ""), IF(AND($D39 &lt;&gt; "", $E39 &lt;&gt; "", $D39 &gt;= $E39), "Start&gt;=End", ""), IF(OR($R39 = "", LEN($R39) &lt; 60, ISNUMBER(MATCH(TRIM($R39), StatusList, 0))), "Body overwritten/short", ""))) = "", "OK", _xlfn.TEXTJOIN(" | ", TRUE, IF($B39 = "", "Missing Title", ""), IF($C39 = "", "Missing Date", ""), IF($D39 = "", "Missing Start", ""), IF($E39 = "", "Missing End", ""), IF($G39 = "", "Missing Required Attendees", ""), IF($T39 = "", "Missing Status", ""), IF(AND($D39 &lt;&gt; "", $E39 &lt;&gt; "", $D39 &gt;= $E39), "Start&gt;=End", ""), IF(OR($R39 = "", LEN($R39) &lt; 60, ISNUMBER(MATCH(TRIM($R39), StatusList, 0))), "Body overwritten/short", "")))))</f>
        <v/>
      </c>
    </row>
    <row r="40" spans="1:22" ht="15" customHeight="1">
      <c r="A40" s="12" t="str">
        <f>IF(AND($B40&lt;&gt;"",$C40&lt;&gt;"",$D40&lt;&gt;"",$E40&lt;&gt;"",$G40&lt;&gt;""),
UPPER(
LEFT(TRIM(LEFT($G40,IFERROR(FIND(";",$G40)-1,999))),1)&amp;
IFERROR(
MID(TRIM(LEFT($G40,IFERROR(FIND(";",$G40)-1,999))),
FIND(" ",TRIM(LEFT($G40,IFERROR(FIND(";",$G40)-1,999))))+1,1),
MID(TRIM(LEFT($G40,IFERROR(FIND(";",$G40)-1,999))),2,1)
)
)&amp;"-"&amp;TEXT($C40,"yyyy-mm-dd"),
"")</f>
        <v/>
      </c>
      <c r="B40" s="25"/>
      <c r="C40" s="34"/>
      <c r="D40" s="38"/>
      <c r="E40" s="38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16" t="str">
        <f>IF($L40&lt;&gt;"","Purpose "&amp;CHAR(10)&amp;$L40&amp;CHAR(10)&amp;CHAR(10),"")&amp;
IF($M40&lt;&gt;"","Stops (in order) "&amp;CHAR(10)&amp;$M40&amp;CHAR(10)&amp;CHAR(10),"")&amp;
IF($N40&lt;&gt;"","To-Do (hard requirements) "&amp;CHAR(10)&amp;$N40&amp;CHAR(10)&amp;CHAR(10),"")&amp;
IF($O40&lt;&gt;"","Suggested Timeline "&amp;CHAR(10)&amp;$O40&amp;CHAR(10)&amp;CHAR(10),"")&amp;
IF($P40&lt;&gt;"","Guardrails "&amp;CHAR(10)&amp;$P40&amp;CHAR(10)&amp;CHAR(10),"")&amp;
IF($Q40&lt;&gt;"","Completion signals "&amp;CHAR(10)&amp;$Q40,"")</f>
        <v/>
      </c>
      <c r="S40" s="25"/>
      <c r="T40" s="25"/>
      <c r="U40" s="8"/>
      <c r="V40" s="8" t="str">
        <f>_xlfn.SINGLE(IF($B40 = "", "", IF(_xlfn.SINGLE(_xlfn.TEXTJOIN(" | ", TRUE, IF($B40 = "", "Missing Title", ""), IF($C40 = "", "Missing Date", ""), IF($D40 = "", "Missing Start", ""), IF($E40 = "", "Missing End", ""), IF($G40 = "", "Missing Required Attendees", ""), IF($T40 = "", "Missing Status", ""), IF(AND($D40 &lt;&gt; "", $E40 &lt;&gt; "", $D40 &gt;= $E40), "Start&gt;=End", ""), IF(OR($R40 = "", LEN($R40) &lt; 60, ISNUMBER(MATCH(TRIM($R40), StatusList, 0))), "Body overwritten/short", ""))) = "", "OK", _xlfn.TEXTJOIN(" | ", TRUE, IF($B40 = "", "Missing Title", ""), IF($C40 = "", "Missing Date", ""), IF($D40 = "", "Missing Start", ""), IF($E40 = "", "Missing End", ""), IF($G40 = "", "Missing Required Attendees", ""), IF($T40 = "", "Missing Status", ""), IF(AND($D40 &lt;&gt; "", $E40 &lt;&gt; "", $D40 &gt;= $E40), "Start&gt;=End", ""), IF(OR($R40 = "", LEN($R40) &lt; 60, ISNUMBER(MATCH(TRIM($R40), StatusList, 0))), "Body overwritten/short", "")))))</f>
        <v/>
      </c>
    </row>
    <row r="41" spans="1:22" ht="15" customHeight="1">
      <c r="A41" s="12" t="str">
        <f>IF(AND($B41&lt;&gt;"",$C41&lt;&gt;"",$D41&lt;&gt;"",$E41&lt;&gt;"",$G41&lt;&gt;""),
UPPER(
LEFT(TRIM(LEFT($G41,IFERROR(FIND(";",$G41)-1,999))),1)&amp;
IFERROR(
MID(TRIM(LEFT($G41,IFERROR(FIND(";",$G41)-1,999))),
FIND(" ",TRIM(LEFT($G41,IFERROR(FIND(";",$G41)-1,999))))+1,1),
MID(TRIM(LEFT($G41,IFERROR(FIND(";",$G41)-1,999))),2,1)
)
)&amp;"-"&amp;TEXT($C41,"yyyy-mm-dd"),
"")</f>
        <v/>
      </c>
      <c r="B41" s="25"/>
      <c r="C41" s="34"/>
      <c r="D41" s="38"/>
      <c r="E41" s="38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16" t="str">
        <f>IF($L41&lt;&gt;"","Purpose "&amp;CHAR(10)&amp;$L41&amp;CHAR(10)&amp;CHAR(10),"")&amp;
IF($M41&lt;&gt;"","Stops (in order) "&amp;CHAR(10)&amp;$M41&amp;CHAR(10)&amp;CHAR(10),"")&amp;
IF($N41&lt;&gt;"","To-Do (hard requirements) "&amp;CHAR(10)&amp;$N41&amp;CHAR(10)&amp;CHAR(10),"")&amp;
IF($O41&lt;&gt;"","Suggested Timeline "&amp;CHAR(10)&amp;$O41&amp;CHAR(10)&amp;CHAR(10),"")&amp;
IF($P41&lt;&gt;"","Guardrails "&amp;CHAR(10)&amp;$P41&amp;CHAR(10)&amp;CHAR(10),"")&amp;
IF($Q41&lt;&gt;"","Completion signals "&amp;CHAR(10)&amp;$Q41,"")</f>
        <v/>
      </c>
      <c r="S41" s="25"/>
      <c r="T41" s="25"/>
      <c r="U41" s="8"/>
      <c r="V41" s="8" t="str">
        <f>_xlfn.SINGLE(IF($B41 = "", "", IF(_xlfn.SINGLE(_xlfn.TEXTJOIN(" | ", TRUE, IF($B41 = "", "Missing Title", ""), IF($C41 = "", "Missing Date", ""), IF($D41 = "", "Missing Start", ""), IF($E41 = "", "Missing End", ""), IF($G41 = "", "Missing Required Attendees", ""), IF($T41 = "", "Missing Status", ""), IF(AND($D41 &lt;&gt; "", $E41 &lt;&gt; "", $D41 &gt;= $E41), "Start&gt;=End", ""), IF(OR($R41 = "", LEN($R41) &lt; 60, ISNUMBER(MATCH(TRIM($R41), StatusList, 0))), "Body overwritten/short", ""))) = "", "OK", _xlfn.TEXTJOIN(" | ", TRUE, IF($B41 = "", "Missing Title", ""), IF($C41 = "", "Missing Date", ""), IF($D41 = "", "Missing Start", ""), IF($E41 = "", "Missing End", ""), IF($G41 = "", "Missing Required Attendees", ""), IF($T41 = "", "Missing Status", ""), IF(AND($D41 &lt;&gt; "", $E41 &lt;&gt; "", $D41 &gt;= $E41), "Start&gt;=End", ""), IF(OR($R41 = "", LEN($R41) &lt; 60, ISNUMBER(MATCH(TRIM($R41), StatusList, 0))), "Body overwritten/short", "")))))</f>
        <v/>
      </c>
    </row>
    <row r="42" spans="1:22" ht="15" customHeight="1">
      <c r="A42" s="12" t="str">
        <f>IF(AND($B42&lt;&gt;"",$C42&lt;&gt;"",$D42&lt;&gt;"",$E42&lt;&gt;"",$G42&lt;&gt;""),
UPPER(
LEFT(TRIM(LEFT($G42,IFERROR(FIND(";",$G42)-1,999))),1)&amp;
IFERROR(
MID(TRIM(LEFT($G42,IFERROR(FIND(";",$G42)-1,999))),
FIND(" ",TRIM(LEFT($G42,IFERROR(FIND(";",$G42)-1,999))))+1,1),
MID(TRIM(LEFT($G42,IFERROR(FIND(";",$G42)-1,999))),2,1)
)
)&amp;"-"&amp;TEXT($C42,"yyyy-mm-dd"),
"")</f>
        <v/>
      </c>
      <c r="B42" s="25"/>
      <c r="C42" s="34"/>
      <c r="D42" s="38"/>
      <c r="E42" s="38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16" t="str">
        <f>IF($L42&lt;&gt;"","Purpose "&amp;CHAR(10)&amp;$L42&amp;CHAR(10)&amp;CHAR(10),"")&amp;
IF($M42&lt;&gt;"","Stops (in order) "&amp;CHAR(10)&amp;$M42&amp;CHAR(10)&amp;CHAR(10),"")&amp;
IF($N42&lt;&gt;"","To-Do (hard requirements) "&amp;CHAR(10)&amp;$N42&amp;CHAR(10)&amp;CHAR(10),"")&amp;
IF($O42&lt;&gt;"","Suggested Timeline "&amp;CHAR(10)&amp;$O42&amp;CHAR(10)&amp;CHAR(10),"")&amp;
IF($P42&lt;&gt;"","Guardrails "&amp;CHAR(10)&amp;$P42&amp;CHAR(10)&amp;CHAR(10),"")&amp;
IF($Q42&lt;&gt;"","Completion signals "&amp;CHAR(10)&amp;$Q42,"")</f>
        <v/>
      </c>
      <c r="S42" s="25"/>
      <c r="T42" s="25"/>
      <c r="U42" s="8"/>
      <c r="V42" s="8" t="str">
        <f>_xlfn.SINGLE(IF($B42 = "", "", IF(_xlfn.SINGLE(_xlfn.TEXTJOIN(" | ", TRUE, IF($B42 = "", "Missing Title", ""), IF($C42 = "", "Missing Date", ""), IF($D42 = "", "Missing Start", ""), IF($E42 = "", "Missing End", ""), IF($G42 = "", "Missing Required Attendees", ""), IF($T42 = "", "Missing Status", ""), IF(AND($D42 &lt;&gt; "", $E42 &lt;&gt; "", $D42 &gt;= $E42), "Start&gt;=End", ""), IF(OR($R42 = "", LEN($R42) &lt; 60, ISNUMBER(MATCH(TRIM($R42), StatusList, 0))), "Body overwritten/short", ""))) = "", "OK", _xlfn.TEXTJOIN(" | ", TRUE, IF($B42 = "", "Missing Title", ""), IF($C42 = "", "Missing Date", ""), IF($D42 = "", "Missing Start", ""), IF($E42 = "", "Missing End", ""), IF($G42 = "", "Missing Required Attendees", ""), IF($T42 = "", "Missing Status", ""), IF(AND($D42 &lt;&gt; "", $E42 &lt;&gt; "", $D42 &gt;= $E42), "Start&gt;=End", ""), IF(OR($R42 = "", LEN($R42) &lt; 60, ISNUMBER(MATCH(TRIM($R42), StatusList, 0))), "Body overwritten/short", "")))))</f>
        <v/>
      </c>
    </row>
    <row r="43" spans="1:22" ht="15" customHeight="1">
      <c r="A43" s="12" t="str">
        <f>IF(AND($B43&lt;&gt;"",$C43&lt;&gt;"",$D43&lt;&gt;"",$E43&lt;&gt;"",$G43&lt;&gt;""),
UPPER(
LEFT(TRIM(LEFT($G43,IFERROR(FIND(";",$G43)-1,999))),1)&amp;
IFERROR(
MID(TRIM(LEFT($G43,IFERROR(FIND(";",$G43)-1,999))),
FIND(" ",TRIM(LEFT($G43,IFERROR(FIND(";",$G43)-1,999))))+1,1),
MID(TRIM(LEFT($G43,IFERROR(FIND(";",$G43)-1,999))),2,1)
)
)&amp;"-"&amp;TEXT($C43,"yyyy-mm-dd"),
"")</f>
        <v/>
      </c>
      <c r="B43" s="25"/>
      <c r="C43" s="34"/>
      <c r="D43" s="38"/>
      <c r="E43" s="38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16" t="str">
        <f>IF($L43&lt;&gt;"","Purpose "&amp;CHAR(10)&amp;$L43&amp;CHAR(10)&amp;CHAR(10),"")&amp;
IF($M43&lt;&gt;"","Stops (in order) "&amp;CHAR(10)&amp;$M43&amp;CHAR(10)&amp;CHAR(10),"")&amp;
IF($N43&lt;&gt;"","To-Do (hard requirements) "&amp;CHAR(10)&amp;$N43&amp;CHAR(10)&amp;CHAR(10),"")&amp;
IF($O43&lt;&gt;"","Suggested Timeline "&amp;CHAR(10)&amp;$O43&amp;CHAR(10)&amp;CHAR(10),"")&amp;
IF($P43&lt;&gt;"","Guardrails "&amp;CHAR(10)&amp;$P43&amp;CHAR(10)&amp;CHAR(10),"")&amp;
IF($Q43&lt;&gt;"","Completion signals "&amp;CHAR(10)&amp;$Q43,"")</f>
        <v/>
      </c>
      <c r="S43" s="25"/>
      <c r="T43" s="25"/>
      <c r="U43" s="8"/>
      <c r="V43" s="8" t="str">
        <f>_xlfn.SINGLE(IF($B43 = "", "", IF(_xlfn.SINGLE(_xlfn.TEXTJOIN(" | ", TRUE, IF($B43 = "", "Missing Title", ""), IF($C43 = "", "Missing Date", ""), IF($D43 = "", "Missing Start", ""), IF($E43 = "", "Missing End", ""), IF($G43 = "", "Missing Required Attendees", ""), IF($T43 = "", "Missing Status", ""), IF(AND($D43 &lt;&gt; "", $E43 &lt;&gt; "", $D43 &gt;= $E43), "Start&gt;=End", ""), IF(OR($R43 = "", LEN($R43) &lt; 60, ISNUMBER(MATCH(TRIM($R43), StatusList, 0))), "Body overwritten/short", ""))) = "", "OK", _xlfn.TEXTJOIN(" | ", TRUE, IF($B43 = "", "Missing Title", ""), IF($C43 = "", "Missing Date", ""), IF($D43 = "", "Missing Start", ""), IF($E43 = "", "Missing End", ""), IF($G43 = "", "Missing Required Attendees", ""), IF($T43 = "", "Missing Status", ""), IF(AND($D43 &lt;&gt; "", $E43 &lt;&gt; "", $D43 &gt;= $E43), "Start&gt;=End", ""), IF(OR($R43 = "", LEN($R43) &lt; 60, ISNUMBER(MATCH(TRIM($R43), StatusList, 0))), "Body overwritten/short", "")))))</f>
        <v/>
      </c>
    </row>
    <row r="44" spans="1:22" ht="15" customHeight="1">
      <c r="A44" s="12" t="str">
        <f>IF(AND($B44&lt;&gt;"",$C44&lt;&gt;"",$D44&lt;&gt;"",$E44&lt;&gt;"",$G44&lt;&gt;""),
UPPER(
LEFT(TRIM(LEFT($G44,IFERROR(FIND(";",$G44)-1,999))),1)&amp;
IFERROR(
MID(TRIM(LEFT($G44,IFERROR(FIND(";",$G44)-1,999))),
FIND(" ",TRIM(LEFT($G44,IFERROR(FIND(";",$G44)-1,999))))+1,1),
MID(TRIM(LEFT($G44,IFERROR(FIND(";",$G44)-1,999))),2,1)
)
)&amp;"-"&amp;TEXT($C44,"yyyy-mm-dd"),
"")</f>
        <v/>
      </c>
      <c r="B44" s="25"/>
      <c r="C44" s="34"/>
      <c r="D44" s="38"/>
      <c r="E44" s="38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16" t="str">
        <f>IF($L44&lt;&gt;"","Purpose "&amp;CHAR(10)&amp;$L44&amp;CHAR(10)&amp;CHAR(10),"")&amp;
IF($M44&lt;&gt;"","Stops (in order) "&amp;CHAR(10)&amp;$M44&amp;CHAR(10)&amp;CHAR(10),"")&amp;
IF($N44&lt;&gt;"","To-Do (hard requirements) "&amp;CHAR(10)&amp;$N44&amp;CHAR(10)&amp;CHAR(10),"")&amp;
IF($O44&lt;&gt;"","Suggested Timeline "&amp;CHAR(10)&amp;$O44&amp;CHAR(10)&amp;CHAR(10),"")&amp;
IF($P44&lt;&gt;"","Guardrails "&amp;CHAR(10)&amp;$P44&amp;CHAR(10)&amp;CHAR(10),"")&amp;
IF($Q44&lt;&gt;"","Completion signals "&amp;CHAR(10)&amp;$Q44,"")</f>
        <v/>
      </c>
      <c r="S44" s="25"/>
      <c r="T44" s="25"/>
      <c r="U44" s="8"/>
      <c r="V44" s="8" t="str">
        <f>_xlfn.SINGLE(IF($B44 = "", "", IF(_xlfn.SINGLE(_xlfn.TEXTJOIN(" | ", TRUE, IF($B44 = "", "Missing Title", ""), IF($C44 = "", "Missing Date", ""), IF($D44 = "", "Missing Start", ""), IF($E44 = "", "Missing End", ""), IF($G44 = "", "Missing Required Attendees", ""), IF($T44 = "", "Missing Status", ""), IF(AND($D44 &lt;&gt; "", $E44 &lt;&gt; "", $D44 &gt;= $E44), "Start&gt;=End", ""), IF(OR($R44 = "", LEN($R44) &lt; 60, ISNUMBER(MATCH(TRIM($R44), StatusList, 0))), "Body overwritten/short", ""))) = "", "OK", _xlfn.TEXTJOIN(" | ", TRUE, IF($B44 = "", "Missing Title", ""), IF($C44 = "", "Missing Date", ""), IF($D44 = "", "Missing Start", ""), IF($E44 = "", "Missing End", ""), IF($G44 = "", "Missing Required Attendees", ""), IF($T44 = "", "Missing Status", ""), IF(AND($D44 &lt;&gt; "", $E44 &lt;&gt; "", $D44 &gt;= $E44), "Start&gt;=End", ""), IF(OR($R44 = "", LEN($R44) &lt; 60, ISNUMBER(MATCH(TRIM($R44), StatusList, 0))), "Body overwritten/short", "")))))</f>
        <v/>
      </c>
    </row>
    <row r="45" spans="1:22" ht="15" customHeight="1">
      <c r="A45" s="12" t="str">
        <f>IF(AND($B45&lt;&gt;"",$C45&lt;&gt;"",$D45&lt;&gt;"",$E45&lt;&gt;"",$G45&lt;&gt;""),
UPPER(
LEFT(TRIM(LEFT($G45,IFERROR(FIND(";",$G45)-1,999))),1)&amp;
IFERROR(
MID(TRIM(LEFT($G45,IFERROR(FIND(";",$G45)-1,999))),
FIND(" ",TRIM(LEFT($G45,IFERROR(FIND(";",$G45)-1,999))))+1,1),
MID(TRIM(LEFT($G45,IFERROR(FIND(";",$G45)-1,999))),2,1)
)
)&amp;"-"&amp;TEXT($C45,"yyyy-mm-dd"),
"")</f>
        <v/>
      </c>
      <c r="B45" s="25"/>
      <c r="C45" s="34"/>
      <c r="D45" s="38"/>
      <c r="E45" s="38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16" t="str">
        <f>IF($L45&lt;&gt;"","Purpose "&amp;CHAR(10)&amp;$L45&amp;CHAR(10)&amp;CHAR(10),"")&amp;
IF($M45&lt;&gt;"","Stops (in order) "&amp;CHAR(10)&amp;$M45&amp;CHAR(10)&amp;CHAR(10),"")&amp;
IF($N45&lt;&gt;"","To-Do (hard requirements) "&amp;CHAR(10)&amp;$N45&amp;CHAR(10)&amp;CHAR(10),"")&amp;
IF($O45&lt;&gt;"","Suggested Timeline "&amp;CHAR(10)&amp;$O45&amp;CHAR(10)&amp;CHAR(10),"")&amp;
IF($P45&lt;&gt;"","Guardrails "&amp;CHAR(10)&amp;$P45&amp;CHAR(10)&amp;CHAR(10),"")&amp;
IF($Q45&lt;&gt;"","Completion signals "&amp;CHAR(10)&amp;$Q45,"")</f>
        <v/>
      </c>
      <c r="S45" s="25"/>
      <c r="T45" s="25"/>
      <c r="U45" s="8"/>
      <c r="V45" s="8" t="str">
        <f>_xlfn.SINGLE(IF($B45 = "", "", IF(_xlfn.SINGLE(_xlfn.TEXTJOIN(" | ", TRUE, IF($B45 = "", "Missing Title", ""), IF($C45 = "", "Missing Date", ""), IF($D45 = "", "Missing Start", ""), IF($E45 = "", "Missing End", ""), IF($G45 = "", "Missing Required Attendees", ""), IF($T45 = "", "Missing Status", ""), IF(AND($D45 &lt;&gt; "", $E45 &lt;&gt; "", $D45 &gt;= $E45), "Start&gt;=End", ""), IF(OR($R45 = "", LEN($R45) &lt; 60, ISNUMBER(MATCH(TRIM($R45), StatusList, 0))), "Body overwritten/short", ""))) = "", "OK", _xlfn.TEXTJOIN(" | ", TRUE, IF($B45 = "", "Missing Title", ""), IF($C45 = "", "Missing Date", ""), IF($D45 = "", "Missing Start", ""), IF($E45 = "", "Missing End", ""), IF($G45 = "", "Missing Required Attendees", ""), IF($T45 = "", "Missing Status", ""), IF(AND($D45 &lt;&gt; "", $E45 &lt;&gt; "", $D45 &gt;= $E45), "Start&gt;=End", ""), IF(OR($R45 = "", LEN($R45) &lt; 60, ISNUMBER(MATCH(TRIM($R45), StatusList, 0))), "Body overwritten/short", "")))))</f>
        <v/>
      </c>
    </row>
    <row r="46" spans="1:22" ht="15" customHeight="1">
      <c r="A46" s="12" t="str">
        <f>IF(AND($B46&lt;&gt;"",$C46&lt;&gt;"",$D46&lt;&gt;"",$E46&lt;&gt;"",$G46&lt;&gt;""),
UPPER(
LEFT(TRIM(LEFT($G46,IFERROR(FIND(";",$G46)-1,999))),1)&amp;
IFERROR(
MID(TRIM(LEFT($G46,IFERROR(FIND(";",$G46)-1,999))),
FIND(" ",TRIM(LEFT($G46,IFERROR(FIND(";",$G46)-1,999))))+1,1),
MID(TRIM(LEFT($G46,IFERROR(FIND(";",$G46)-1,999))),2,1)
)
)&amp;"-"&amp;TEXT($C46,"yyyy-mm-dd"),
"")</f>
        <v/>
      </c>
      <c r="B46" s="25"/>
      <c r="C46" s="34"/>
      <c r="D46" s="38"/>
      <c r="E46" s="38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16" t="str">
        <f>IF($L46&lt;&gt;"","Purpose "&amp;CHAR(10)&amp;$L46&amp;CHAR(10)&amp;CHAR(10),"")&amp;
IF($M46&lt;&gt;"","Stops (in order) "&amp;CHAR(10)&amp;$M46&amp;CHAR(10)&amp;CHAR(10),"")&amp;
IF($N46&lt;&gt;"","To-Do (hard requirements) "&amp;CHAR(10)&amp;$N46&amp;CHAR(10)&amp;CHAR(10),"")&amp;
IF($O46&lt;&gt;"","Suggested Timeline "&amp;CHAR(10)&amp;$O46&amp;CHAR(10)&amp;CHAR(10),"")&amp;
IF($P46&lt;&gt;"","Guardrails "&amp;CHAR(10)&amp;$P46&amp;CHAR(10)&amp;CHAR(10),"")&amp;
IF($Q46&lt;&gt;"","Completion signals "&amp;CHAR(10)&amp;$Q46,"")</f>
        <v/>
      </c>
      <c r="S46" s="25"/>
      <c r="T46" s="25"/>
      <c r="U46" s="8"/>
      <c r="V46" s="8" t="str">
        <f>_xlfn.SINGLE(IF($B46 = "", "", IF(_xlfn.SINGLE(_xlfn.TEXTJOIN(" | ", TRUE, IF($B46 = "", "Missing Title", ""), IF($C46 = "", "Missing Date", ""), IF($D46 = "", "Missing Start", ""), IF($E46 = "", "Missing End", ""), IF($G46 = "", "Missing Required Attendees", ""), IF($T46 = "", "Missing Status", ""), IF(AND($D46 &lt;&gt; "", $E46 &lt;&gt; "", $D46 &gt;= $E46), "Start&gt;=End", ""), IF(OR($R46 = "", LEN($R46) &lt; 60, ISNUMBER(MATCH(TRIM($R46), StatusList, 0))), "Body overwritten/short", ""))) = "", "OK", _xlfn.TEXTJOIN(" | ", TRUE, IF($B46 = "", "Missing Title", ""), IF($C46 = "", "Missing Date", ""), IF($D46 = "", "Missing Start", ""), IF($E46 = "", "Missing End", ""), IF($G46 = "", "Missing Required Attendees", ""), IF($T46 = "", "Missing Status", ""), IF(AND($D46 &lt;&gt; "", $E46 &lt;&gt; "", $D46 &gt;= $E46), "Start&gt;=End", ""), IF(OR($R46 = "", LEN($R46) &lt; 60, ISNUMBER(MATCH(TRIM($R46), StatusList, 0))), "Body overwritten/short", "")))))</f>
        <v/>
      </c>
    </row>
    <row r="47" spans="1:22" ht="15" customHeight="1">
      <c r="A47" s="12" t="str">
        <f>IF(AND($B47&lt;&gt;"",$C47&lt;&gt;"",$D47&lt;&gt;"",$E47&lt;&gt;"",$G47&lt;&gt;""),
UPPER(
LEFT(TRIM(LEFT($G47,IFERROR(FIND(";",$G47)-1,999))),1)&amp;
IFERROR(
MID(TRIM(LEFT($G47,IFERROR(FIND(";",$G47)-1,999))),
FIND(" ",TRIM(LEFT($G47,IFERROR(FIND(";",$G47)-1,999))))+1,1),
MID(TRIM(LEFT($G47,IFERROR(FIND(";",$G47)-1,999))),2,1)
)
)&amp;"-"&amp;TEXT($C47,"yyyy-mm-dd"),
"")</f>
        <v/>
      </c>
      <c r="B47" s="25"/>
      <c r="C47" s="34"/>
      <c r="D47" s="38"/>
      <c r="E47" s="38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16" t="str">
        <f>IF($L47&lt;&gt;"","Purpose "&amp;CHAR(10)&amp;$L47&amp;CHAR(10)&amp;CHAR(10),"")&amp;
IF($M47&lt;&gt;"","Stops (in order) "&amp;CHAR(10)&amp;$M47&amp;CHAR(10)&amp;CHAR(10),"")&amp;
IF($N47&lt;&gt;"","To-Do (hard requirements) "&amp;CHAR(10)&amp;$N47&amp;CHAR(10)&amp;CHAR(10),"")&amp;
IF($O47&lt;&gt;"","Suggested Timeline "&amp;CHAR(10)&amp;$O47&amp;CHAR(10)&amp;CHAR(10),"")&amp;
IF($P47&lt;&gt;"","Guardrails "&amp;CHAR(10)&amp;$P47&amp;CHAR(10)&amp;CHAR(10),"")&amp;
IF($Q47&lt;&gt;"","Completion signals "&amp;CHAR(10)&amp;$Q47,"")</f>
        <v/>
      </c>
      <c r="S47" s="25"/>
      <c r="T47" s="25"/>
      <c r="U47" s="8"/>
      <c r="V47" s="8" t="str">
        <f>_xlfn.SINGLE(IF($B47 = "", "", IF(_xlfn.SINGLE(_xlfn.TEXTJOIN(" | ", TRUE, IF($B47 = "", "Missing Title", ""), IF($C47 = "", "Missing Date", ""), IF($D47 = "", "Missing Start", ""), IF($E47 = "", "Missing End", ""), IF($G47 = "", "Missing Required Attendees", ""), IF($T47 = "", "Missing Status", ""), IF(AND($D47 &lt;&gt; "", $E47 &lt;&gt; "", $D47 &gt;= $E47), "Start&gt;=End", ""), IF(OR($R47 = "", LEN($R47) &lt; 60, ISNUMBER(MATCH(TRIM($R47), StatusList, 0))), "Body overwritten/short", ""))) = "", "OK", _xlfn.TEXTJOIN(" | ", TRUE, IF($B47 = "", "Missing Title", ""), IF($C47 = "", "Missing Date", ""), IF($D47 = "", "Missing Start", ""), IF($E47 = "", "Missing End", ""), IF($G47 = "", "Missing Required Attendees", ""), IF($T47 = "", "Missing Status", ""), IF(AND($D47 &lt;&gt; "", $E47 &lt;&gt; "", $D47 &gt;= $E47), "Start&gt;=End", ""), IF(OR($R47 = "", LEN($R47) &lt; 60, ISNUMBER(MATCH(TRIM($R47), StatusList, 0))), "Body overwritten/short", "")))))</f>
        <v/>
      </c>
    </row>
    <row r="48" spans="1:22" ht="15" customHeight="1">
      <c r="A48" s="12" t="str">
        <f>IF(AND($B48&lt;&gt;"",$C48&lt;&gt;"",$D48&lt;&gt;"",$E48&lt;&gt;"",$G48&lt;&gt;""),
UPPER(
LEFT(TRIM(LEFT($G48,IFERROR(FIND(";",$G48)-1,999))),1)&amp;
IFERROR(
MID(TRIM(LEFT($G48,IFERROR(FIND(";",$G48)-1,999))),
FIND(" ",TRIM(LEFT($G48,IFERROR(FIND(";",$G48)-1,999))))+1,1),
MID(TRIM(LEFT($G48,IFERROR(FIND(";",$G48)-1,999))),2,1)
)
)&amp;"-"&amp;TEXT($C48,"yyyy-mm-dd"),
"")</f>
        <v/>
      </c>
      <c r="B48" s="25"/>
      <c r="C48" s="34"/>
      <c r="D48" s="38"/>
      <c r="E48" s="38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16" t="str">
        <f>IF($L48&lt;&gt;"","Purpose "&amp;CHAR(10)&amp;$L48&amp;CHAR(10)&amp;CHAR(10),"")&amp;
IF($M48&lt;&gt;"","Stops (in order) "&amp;CHAR(10)&amp;$M48&amp;CHAR(10)&amp;CHAR(10),"")&amp;
IF($N48&lt;&gt;"","To-Do (hard requirements) "&amp;CHAR(10)&amp;$N48&amp;CHAR(10)&amp;CHAR(10),"")&amp;
IF($O48&lt;&gt;"","Suggested Timeline "&amp;CHAR(10)&amp;$O48&amp;CHAR(10)&amp;CHAR(10),"")&amp;
IF($P48&lt;&gt;"","Guardrails "&amp;CHAR(10)&amp;$P48&amp;CHAR(10)&amp;CHAR(10),"")&amp;
IF($Q48&lt;&gt;"","Completion signals "&amp;CHAR(10)&amp;$Q48,"")</f>
        <v/>
      </c>
      <c r="S48" s="25"/>
      <c r="T48" s="25"/>
      <c r="U48" s="8"/>
      <c r="V48" s="8" t="str">
        <f>_xlfn.SINGLE(IF($B48 = "", "", IF(_xlfn.SINGLE(_xlfn.TEXTJOIN(" | ", TRUE, IF($B48 = "", "Missing Title", ""), IF($C48 = "", "Missing Date", ""), IF($D48 = "", "Missing Start", ""), IF($E48 = "", "Missing End", ""), IF($G48 = "", "Missing Required Attendees", ""), IF($T48 = "", "Missing Status", ""), IF(AND($D48 &lt;&gt; "", $E48 &lt;&gt; "", $D48 &gt;= $E48), "Start&gt;=End", ""), IF(OR($R48 = "", LEN($R48) &lt; 60, ISNUMBER(MATCH(TRIM($R48), StatusList, 0))), "Body overwritten/short", ""))) = "", "OK", _xlfn.TEXTJOIN(" | ", TRUE, IF($B48 = "", "Missing Title", ""), IF($C48 = "", "Missing Date", ""), IF($D48 = "", "Missing Start", ""), IF($E48 = "", "Missing End", ""), IF($G48 = "", "Missing Required Attendees", ""), IF($T48 = "", "Missing Status", ""), IF(AND($D48 &lt;&gt; "", $E48 &lt;&gt; "", $D48 &gt;= $E48), "Start&gt;=End", ""), IF(OR($R48 = "", LEN($R48) &lt; 60, ISNUMBER(MATCH(TRIM($R48), StatusList, 0))), "Body overwritten/short", "")))))</f>
        <v/>
      </c>
    </row>
    <row r="49" spans="1:22" ht="15" customHeight="1">
      <c r="A49" s="12" t="str">
        <f>IF(AND($B49&lt;&gt;"",$C49&lt;&gt;"",$D49&lt;&gt;"",$E49&lt;&gt;"",$G49&lt;&gt;""),
UPPER(
LEFT(TRIM(LEFT($G49,IFERROR(FIND(";",$G49)-1,999))),1)&amp;
IFERROR(
MID(TRIM(LEFT($G49,IFERROR(FIND(";",$G49)-1,999))),
FIND(" ",TRIM(LEFT($G49,IFERROR(FIND(";",$G49)-1,999))))+1,1),
MID(TRIM(LEFT($G49,IFERROR(FIND(";",$G49)-1,999))),2,1)
)
)&amp;"-"&amp;TEXT($C49,"yyyy-mm-dd"),
"")</f>
        <v/>
      </c>
      <c r="B49" s="25"/>
      <c r="C49" s="34"/>
      <c r="D49" s="38"/>
      <c r="E49" s="38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16" t="str">
        <f>IF($L49&lt;&gt;"","Purpose "&amp;CHAR(10)&amp;$L49&amp;CHAR(10)&amp;CHAR(10),"")&amp;
IF($M49&lt;&gt;"","Stops (in order) "&amp;CHAR(10)&amp;$M49&amp;CHAR(10)&amp;CHAR(10),"")&amp;
IF($N49&lt;&gt;"","To-Do (hard requirements) "&amp;CHAR(10)&amp;$N49&amp;CHAR(10)&amp;CHAR(10),"")&amp;
IF($O49&lt;&gt;"","Suggested Timeline "&amp;CHAR(10)&amp;$O49&amp;CHAR(10)&amp;CHAR(10),"")&amp;
IF($P49&lt;&gt;"","Guardrails "&amp;CHAR(10)&amp;$P49&amp;CHAR(10)&amp;CHAR(10),"")&amp;
IF($Q49&lt;&gt;"","Completion signals "&amp;CHAR(10)&amp;$Q49,"")</f>
        <v/>
      </c>
      <c r="S49" s="25"/>
      <c r="T49" s="25"/>
      <c r="U49" s="8"/>
      <c r="V49" s="8" t="str">
        <f>_xlfn.SINGLE(IF($B49 = "", "", IF(_xlfn.SINGLE(_xlfn.TEXTJOIN(" | ", TRUE, IF($B49 = "", "Missing Title", ""), IF($C49 = "", "Missing Date", ""), IF($D49 = "", "Missing Start", ""), IF($E49 = "", "Missing End", ""), IF($G49 = "", "Missing Required Attendees", ""), IF($T49 = "", "Missing Status", ""), IF(AND($D49 &lt;&gt; "", $E49 &lt;&gt; "", $D49 &gt;= $E49), "Start&gt;=End", ""), IF(OR($R49 = "", LEN($R49) &lt; 60, ISNUMBER(MATCH(TRIM($R49), StatusList, 0))), "Body overwritten/short", ""))) = "", "OK", _xlfn.TEXTJOIN(" | ", TRUE, IF($B49 = "", "Missing Title", ""), IF($C49 = "", "Missing Date", ""), IF($D49 = "", "Missing Start", ""), IF($E49 = "", "Missing End", ""), IF($G49 = "", "Missing Required Attendees", ""), IF($T49 = "", "Missing Status", ""), IF(AND($D49 &lt;&gt; "", $E49 &lt;&gt; "", $D49 &gt;= $E49), "Start&gt;=End", ""), IF(OR($R49 = "", LEN($R49) &lt; 60, ISNUMBER(MATCH(TRIM($R49), StatusList, 0))), "Body overwritten/short", "")))))</f>
        <v/>
      </c>
    </row>
    <row r="50" spans="1:22" ht="15" customHeight="1">
      <c r="A50" s="12" t="str">
        <f>IF(AND($B50&lt;&gt;"",$C50&lt;&gt;"",$D50&lt;&gt;"",$E50&lt;&gt;"",$G50&lt;&gt;""),
UPPER(
LEFT(TRIM(LEFT($G50,IFERROR(FIND(";",$G50)-1,999))),1)&amp;
IFERROR(
MID(TRIM(LEFT($G50,IFERROR(FIND(";",$G50)-1,999))),
FIND(" ",TRIM(LEFT($G50,IFERROR(FIND(";",$G50)-1,999))))+1,1),
MID(TRIM(LEFT($G50,IFERROR(FIND(";",$G50)-1,999))),2,1)
)
)&amp;"-"&amp;TEXT($C50,"yyyy-mm-dd"),
"")</f>
        <v/>
      </c>
      <c r="B50" s="25"/>
      <c r="C50" s="34"/>
      <c r="D50" s="38"/>
      <c r="E50" s="38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16" t="str">
        <f>IF($L50&lt;&gt;"","Purpose "&amp;CHAR(10)&amp;$L50&amp;CHAR(10)&amp;CHAR(10),"")&amp;
IF($M50&lt;&gt;"","Stops (in order) "&amp;CHAR(10)&amp;$M50&amp;CHAR(10)&amp;CHAR(10),"")&amp;
IF($N50&lt;&gt;"","To-Do (hard requirements) "&amp;CHAR(10)&amp;$N50&amp;CHAR(10)&amp;CHAR(10),"")&amp;
IF($O50&lt;&gt;"","Suggested Timeline "&amp;CHAR(10)&amp;$O50&amp;CHAR(10)&amp;CHAR(10),"")&amp;
IF($P50&lt;&gt;"","Guardrails "&amp;CHAR(10)&amp;$P50&amp;CHAR(10)&amp;CHAR(10),"")&amp;
IF($Q50&lt;&gt;"","Completion signals "&amp;CHAR(10)&amp;$Q50,"")</f>
        <v/>
      </c>
      <c r="S50" s="25"/>
      <c r="T50" s="25"/>
      <c r="U50" s="8"/>
      <c r="V50" s="8" t="str">
        <f>_xlfn.SINGLE(IF($B50 = "", "", IF(_xlfn.SINGLE(_xlfn.TEXTJOIN(" | ", TRUE, IF($B50 = "", "Missing Title", ""), IF($C50 = "", "Missing Date", ""), IF($D50 = "", "Missing Start", ""), IF($E50 = "", "Missing End", ""), IF($G50 = "", "Missing Required Attendees", ""), IF($T50 = "", "Missing Status", ""), IF(AND($D50 &lt;&gt; "", $E50 &lt;&gt; "", $D50 &gt;= $E50), "Start&gt;=End", ""), IF(OR($R50 = "", LEN($R50) &lt; 60, ISNUMBER(MATCH(TRIM($R50), StatusList, 0))), "Body overwritten/short", ""))) = "", "OK", _xlfn.TEXTJOIN(" | ", TRUE, IF($B50 = "", "Missing Title", ""), IF($C50 = "", "Missing Date", ""), IF($D50 = "", "Missing Start", ""), IF($E50 = "", "Missing End", ""), IF($G50 = "", "Missing Required Attendees", ""), IF($T50 = "", "Missing Status", ""), IF(AND($D50 &lt;&gt; "", $E50 &lt;&gt; "", $D50 &gt;= $E50), "Start&gt;=End", ""), IF(OR($R50 = "", LEN($R50) &lt; 60, ISNUMBER(MATCH(TRIM($R50), StatusList, 0))), "Body overwritten/short", "")))))</f>
        <v/>
      </c>
    </row>
    <row r="51" spans="1:22" ht="15" customHeight="1">
      <c r="A51" s="12" t="str">
        <f>IF(AND($B51&lt;&gt;"",$C51&lt;&gt;"",$D51&lt;&gt;"",$E51&lt;&gt;"",$G51&lt;&gt;""),
UPPER(
LEFT(TRIM(LEFT($G51,IFERROR(FIND(";",$G51)-1,999))),1)&amp;
IFERROR(
MID(TRIM(LEFT($G51,IFERROR(FIND(";",$G51)-1,999))),
FIND(" ",TRIM(LEFT($G51,IFERROR(FIND(";",$G51)-1,999))))+1,1),
MID(TRIM(LEFT($G51,IFERROR(FIND(";",$G51)-1,999))),2,1)
)
)&amp;"-"&amp;TEXT($C51,"yyyy-mm-dd"),
"")</f>
        <v/>
      </c>
      <c r="B51" s="25"/>
      <c r="C51" s="34"/>
      <c r="D51" s="38"/>
      <c r="E51" s="38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16" t="str">
        <f>IF($L51&lt;&gt;"","Purpose "&amp;CHAR(10)&amp;$L51&amp;CHAR(10)&amp;CHAR(10),"")&amp;
IF($M51&lt;&gt;"","Stops (in order) "&amp;CHAR(10)&amp;$M51&amp;CHAR(10)&amp;CHAR(10),"")&amp;
IF($N51&lt;&gt;"","To-Do (hard requirements) "&amp;CHAR(10)&amp;$N51&amp;CHAR(10)&amp;CHAR(10),"")&amp;
IF($O51&lt;&gt;"","Suggested Timeline "&amp;CHAR(10)&amp;$O51&amp;CHAR(10)&amp;CHAR(10),"")&amp;
IF($P51&lt;&gt;"","Guardrails "&amp;CHAR(10)&amp;$P51&amp;CHAR(10)&amp;CHAR(10),"")&amp;
IF($Q51&lt;&gt;"","Completion signals "&amp;CHAR(10)&amp;$Q51,"")</f>
        <v/>
      </c>
      <c r="S51" s="25"/>
      <c r="T51" s="25"/>
      <c r="U51" s="8"/>
      <c r="V51" s="8" t="str">
        <f>_xlfn.SINGLE(IF($B51 = "", "", IF(_xlfn.SINGLE(_xlfn.TEXTJOIN(" | ", TRUE, IF($B51 = "", "Missing Title", ""), IF($C51 = "", "Missing Date", ""), IF($D51 = "", "Missing Start", ""), IF($E51 = "", "Missing End", ""), IF($G51 = "", "Missing Required Attendees", ""), IF($T51 = "", "Missing Status", ""), IF(AND($D51 &lt;&gt; "", $E51 &lt;&gt; "", $D51 &gt;= $E51), "Start&gt;=End", ""), IF(OR($R51 = "", LEN($R51) &lt; 60, ISNUMBER(MATCH(TRIM($R51), StatusList, 0))), "Body overwritten/short", ""))) = "", "OK", _xlfn.TEXTJOIN(" | ", TRUE, IF($B51 = "", "Missing Title", ""), IF($C51 = "", "Missing Date", ""), IF($D51 = "", "Missing Start", ""), IF($E51 = "", "Missing End", ""), IF($G51 = "", "Missing Required Attendees", ""), IF($T51 = "", "Missing Status", ""), IF(AND($D51 &lt;&gt; "", $E51 &lt;&gt; "", $D51 &gt;= $E51), "Start&gt;=End", ""), IF(OR($R51 = "", LEN($R51) &lt; 60, ISNUMBER(MATCH(TRIM($R51), StatusList, 0))), "Body overwritten/short", "")))))</f>
        <v/>
      </c>
    </row>
    <row r="52" spans="1:22" ht="15" customHeight="1">
      <c r="A52" s="12" t="str">
        <f>IF(AND($B52&lt;&gt;"",$C52&lt;&gt;"",$D52&lt;&gt;"",$E52&lt;&gt;"",$G52&lt;&gt;""),
UPPER(
LEFT(TRIM(LEFT($G52,IFERROR(FIND(";",$G52)-1,999))),1)&amp;
IFERROR(
MID(TRIM(LEFT($G52,IFERROR(FIND(";",$G52)-1,999))),
FIND(" ",TRIM(LEFT($G52,IFERROR(FIND(";",$G52)-1,999))))+1,1),
MID(TRIM(LEFT($G52,IFERROR(FIND(";",$G52)-1,999))),2,1)
)
)&amp;"-"&amp;TEXT($C52,"yyyy-mm-dd"),
"")</f>
        <v/>
      </c>
      <c r="B52" s="25"/>
      <c r="C52" s="34"/>
      <c r="D52" s="38"/>
      <c r="E52" s="38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16" t="str">
        <f>IF($L52&lt;&gt;"","Purpose "&amp;CHAR(10)&amp;$L52&amp;CHAR(10)&amp;CHAR(10),"")&amp;
IF($M52&lt;&gt;"","Stops (in order) "&amp;CHAR(10)&amp;$M52&amp;CHAR(10)&amp;CHAR(10),"")&amp;
IF($N52&lt;&gt;"","To-Do (hard requirements) "&amp;CHAR(10)&amp;$N52&amp;CHAR(10)&amp;CHAR(10),"")&amp;
IF($O52&lt;&gt;"","Suggested Timeline "&amp;CHAR(10)&amp;$O52&amp;CHAR(10)&amp;CHAR(10),"")&amp;
IF($P52&lt;&gt;"","Guardrails "&amp;CHAR(10)&amp;$P52&amp;CHAR(10)&amp;CHAR(10),"")&amp;
IF($Q52&lt;&gt;"","Completion signals "&amp;CHAR(10)&amp;$Q52,"")</f>
        <v/>
      </c>
      <c r="S52" s="25"/>
      <c r="T52" s="25"/>
      <c r="U52" s="8"/>
      <c r="V52" s="8" t="str">
        <f>_xlfn.SINGLE(IF($B52 = "", "", IF(_xlfn.SINGLE(_xlfn.TEXTJOIN(" | ", TRUE, IF($B52 = "", "Missing Title", ""), IF($C52 = "", "Missing Date", ""), IF($D52 = "", "Missing Start", ""), IF($E52 = "", "Missing End", ""), IF($G52 = "", "Missing Required Attendees", ""), IF($T52 = "", "Missing Status", ""), IF(AND($D52 &lt;&gt; "", $E52 &lt;&gt; "", $D52 &gt;= $E52), "Start&gt;=End", ""), IF(OR($R52 = "", LEN($R52) &lt; 60, ISNUMBER(MATCH(TRIM($R52), StatusList, 0))), "Body overwritten/short", ""))) = "", "OK", _xlfn.TEXTJOIN(" | ", TRUE, IF($B52 = "", "Missing Title", ""), IF($C52 = "", "Missing Date", ""), IF($D52 = "", "Missing Start", ""), IF($E52 = "", "Missing End", ""), IF($G52 = "", "Missing Required Attendees", ""), IF($T52 = "", "Missing Status", ""), IF(AND($D52 &lt;&gt; "", $E52 &lt;&gt; "", $D52 &gt;= $E52), "Start&gt;=End", ""), IF(OR($R52 = "", LEN($R52) &lt; 60, ISNUMBER(MATCH(TRIM($R52), StatusList, 0))), "Body overwritten/short", "")))))</f>
        <v/>
      </c>
    </row>
    <row r="53" spans="1:22" ht="15" customHeight="1">
      <c r="A53" s="12" t="str">
        <f>IF(AND($B53&lt;&gt;"",$C53&lt;&gt;"",$D53&lt;&gt;"",$E53&lt;&gt;"",$G53&lt;&gt;""),
UPPER(
LEFT(TRIM(LEFT($G53,IFERROR(FIND(";",$G53)-1,999))),1)&amp;
IFERROR(
MID(TRIM(LEFT($G53,IFERROR(FIND(";",$G53)-1,999))),
FIND(" ",TRIM(LEFT($G53,IFERROR(FIND(";",$G53)-1,999))))+1,1),
MID(TRIM(LEFT($G53,IFERROR(FIND(";",$G53)-1,999))),2,1)
)
)&amp;"-"&amp;TEXT($C53,"yyyy-mm-dd"),
"")</f>
        <v/>
      </c>
      <c r="B53" s="25"/>
      <c r="C53" s="34"/>
      <c r="D53" s="38"/>
      <c r="E53" s="38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16" t="str">
        <f>IF($L53&lt;&gt;"","Purpose "&amp;CHAR(10)&amp;$L53&amp;CHAR(10)&amp;CHAR(10),"")&amp;
IF($M53&lt;&gt;"","Stops (in order) "&amp;CHAR(10)&amp;$M53&amp;CHAR(10)&amp;CHAR(10),"")&amp;
IF($N53&lt;&gt;"","To-Do (hard requirements) "&amp;CHAR(10)&amp;$N53&amp;CHAR(10)&amp;CHAR(10),"")&amp;
IF($O53&lt;&gt;"","Suggested Timeline "&amp;CHAR(10)&amp;$O53&amp;CHAR(10)&amp;CHAR(10),"")&amp;
IF($P53&lt;&gt;"","Guardrails "&amp;CHAR(10)&amp;$P53&amp;CHAR(10)&amp;CHAR(10),"")&amp;
IF($Q53&lt;&gt;"","Completion signals "&amp;CHAR(10)&amp;$Q53,"")</f>
        <v/>
      </c>
      <c r="S53" s="25"/>
      <c r="T53" s="25"/>
      <c r="U53" s="8"/>
      <c r="V53" s="8" t="str">
        <f>_xlfn.SINGLE(IF($B53 = "", "", IF(_xlfn.SINGLE(_xlfn.TEXTJOIN(" | ", TRUE, IF($B53 = "", "Missing Title", ""), IF($C53 = "", "Missing Date", ""), IF($D53 = "", "Missing Start", ""), IF($E53 = "", "Missing End", ""), IF($G53 = "", "Missing Required Attendees", ""), IF($T53 = "", "Missing Status", ""), IF(AND($D53 &lt;&gt; "", $E53 &lt;&gt; "", $D53 &gt;= $E53), "Start&gt;=End", ""), IF(OR($R53 = "", LEN($R53) &lt; 60, ISNUMBER(MATCH(TRIM($R53), StatusList, 0))), "Body overwritten/short", ""))) = "", "OK", _xlfn.TEXTJOIN(" | ", TRUE, IF($B53 = "", "Missing Title", ""), IF($C53 = "", "Missing Date", ""), IF($D53 = "", "Missing Start", ""), IF($E53 = "", "Missing End", ""), IF($G53 = "", "Missing Required Attendees", ""), IF($T53 = "", "Missing Status", ""), IF(AND($D53 &lt;&gt; "", $E53 &lt;&gt; "", $D53 &gt;= $E53), "Start&gt;=End", ""), IF(OR($R53 = "", LEN($R53) &lt; 60, ISNUMBER(MATCH(TRIM($R53), StatusList, 0))), "Body overwritten/short", "")))))</f>
        <v/>
      </c>
    </row>
    <row r="54" spans="1:22" ht="15" customHeight="1">
      <c r="A54" s="12" t="str">
        <f>IF(AND($B54&lt;&gt;"",$C54&lt;&gt;"",$D54&lt;&gt;"",$E54&lt;&gt;"",$G54&lt;&gt;""),
UPPER(
LEFT(TRIM(LEFT($G54,IFERROR(FIND(";",$G54)-1,999))),1)&amp;
IFERROR(
MID(TRIM(LEFT($G54,IFERROR(FIND(";",$G54)-1,999))),
FIND(" ",TRIM(LEFT($G54,IFERROR(FIND(";",$G54)-1,999))))+1,1),
MID(TRIM(LEFT($G54,IFERROR(FIND(";",$G54)-1,999))),2,1)
)
)&amp;"-"&amp;TEXT($C54,"yyyy-mm-dd"),
"")</f>
        <v/>
      </c>
      <c r="B54" s="25"/>
      <c r="C54" s="34"/>
      <c r="D54" s="38"/>
      <c r="E54" s="38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16" t="str">
        <f>IF($L54&lt;&gt;"","Purpose "&amp;CHAR(10)&amp;$L54&amp;CHAR(10)&amp;CHAR(10),"")&amp;
IF($M54&lt;&gt;"","Stops (in order) "&amp;CHAR(10)&amp;$M54&amp;CHAR(10)&amp;CHAR(10),"")&amp;
IF($N54&lt;&gt;"","To-Do (hard requirements) "&amp;CHAR(10)&amp;$N54&amp;CHAR(10)&amp;CHAR(10),"")&amp;
IF($O54&lt;&gt;"","Suggested Timeline "&amp;CHAR(10)&amp;$O54&amp;CHAR(10)&amp;CHAR(10),"")&amp;
IF($P54&lt;&gt;"","Guardrails "&amp;CHAR(10)&amp;$P54&amp;CHAR(10)&amp;CHAR(10),"")&amp;
IF($Q54&lt;&gt;"","Completion signals "&amp;CHAR(10)&amp;$Q54,"")</f>
        <v/>
      </c>
      <c r="S54" s="25"/>
      <c r="T54" s="25"/>
      <c r="U54" s="8"/>
      <c r="V54" s="8" t="str">
        <f>_xlfn.SINGLE(IF($B54 = "", "", IF(_xlfn.SINGLE(_xlfn.TEXTJOIN(" | ", TRUE, IF($B54 = "", "Missing Title", ""), IF($C54 = "", "Missing Date", ""), IF($D54 = "", "Missing Start", ""), IF($E54 = "", "Missing End", ""), IF($G54 = "", "Missing Required Attendees", ""), IF($T54 = "", "Missing Status", ""), IF(AND($D54 &lt;&gt; "", $E54 &lt;&gt; "", $D54 &gt;= $E54), "Start&gt;=End", ""), IF(OR($R54 = "", LEN($R54) &lt; 60, ISNUMBER(MATCH(TRIM($R54), StatusList, 0))), "Body overwritten/short", ""))) = "", "OK", _xlfn.TEXTJOIN(" | ", TRUE, IF($B54 = "", "Missing Title", ""), IF($C54 = "", "Missing Date", ""), IF($D54 = "", "Missing Start", ""), IF($E54 = "", "Missing End", ""), IF($G54 = "", "Missing Required Attendees", ""), IF($T54 = "", "Missing Status", ""), IF(AND($D54 &lt;&gt; "", $E54 &lt;&gt; "", $D54 &gt;= $E54), "Start&gt;=End", ""), IF(OR($R54 = "", LEN($R54) &lt; 60, ISNUMBER(MATCH(TRIM($R54), StatusList, 0))), "Body overwritten/short", "")))))</f>
        <v/>
      </c>
    </row>
    <row r="55" spans="1:22" ht="15" customHeight="1">
      <c r="A55" s="12" t="str">
        <f>IF(AND($B55&lt;&gt;"",$C55&lt;&gt;"",$D55&lt;&gt;"",$E55&lt;&gt;"",$G55&lt;&gt;""),
UPPER(
LEFT(TRIM(LEFT($G55,IFERROR(FIND(";",$G55)-1,999))),1)&amp;
IFERROR(
MID(TRIM(LEFT($G55,IFERROR(FIND(";",$G55)-1,999))),
FIND(" ",TRIM(LEFT($G55,IFERROR(FIND(";",$G55)-1,999))))+1,1),
MID(TRIM(LEFT($G55,IFERROR(FIND(";",$G55)-1,999))),2,1)
)
)&amp;"-"&amp;TEXT($C55,"yyyy-mm-dd"),
"")</f>
        <v/>
      </c>
      <c r="B55" s="25"/>
      <c r="C55" s="34"/>
      <c r="D55" s="38"/>
      <c r="E55" s="38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16" t="str">
        <f>IF($L55&lt;&gt;"","Purpose "&amp;CHAR(10)&amp;$L55&amp;CHAR(10)&amp;CHAR(10),"")&amp;
IF($M55&lt;&gt;"","Stops (in order) "&amp;CHAR(10)&amp;$M55&amp;CHAR(10)&amp;CHAR(10),"")&amp;
IF($N55&lt;&gt;"","To-Do (hard requirements) "&amp;CHAR(10)&amp;$N55&amp;CHAR(10)&amp;CHAR(10),"")&amp;
IF($O55&lt;&gt;"","Suggested Timeline "&amp;CHAR(10)&amp;$O55&amp;CHAR(10)&amp;CHAR(10),"")&amp;
IF($P55&lt;&gt;"","Guardrails "&amp;CHAR(10)&amp;$P55&amp;CHAR(10)&amp;CHAR(10),"")&amp;
IF($Q55&lt;&gt;"","Completion signals "&amp;CHAR(10)&amp;$Q55,"")</f>
        <v/>
      </c>
      <c r="S55" s="25"/>
      <c r="T55" s="25"/>
      <c r="U55" s="8"/>
      <c r="V55" s="8" t="str">
        <f>_xlfn.SINGLE(IF($B55 = "", "", IF(_xlfn.SINGLE(_xlfn.TEXTJOIN(" | ", TRUE, IF($B55 = "", "Missing Title", ""), IF($C55 = "", "Missing Date", ""), IF($D55 = "", "Missing Start", ""), IF($E55 = "", "Missing End", ""), IF($G55 = "", "Missing Required Attendees", ""), IF($T55 = "", "Missing Status", ""), IF(AND($D55 &lt;&gt; "", $E55 &lt;&gt; "", $D55 &gt;= $E55), "Start&gt;=End", ""), IF(OR($R55 = "", LEN($R55) &lt; 60, ISNUMBER(MATCH(TRIM($R55), StatusList, 0))), "Body overwritten/short", ""))) = "", "OK", _xlfn.TEXTJOIN(" | ", TRUE, IF($B55 = "", "Missing Title", ""), IF($C55 = "", "Missing Date", ""), IF($D55 = "", "Missing Start", ""), IF($E55 = "", "Missing End", ""), IF($G55 = "", "Missing Required Attendees", ""), IF($T55 = "", "Missing Status", ""), IF(AND($D55 &lt;&gt; "", $E55 &lt;&gt; "", $D55 &gt;= $E55), "Start&gt;=End", ""), IF(OR($R55 = "", LEN($R55) &lt; 60, ISNUMBER(MATCH(TRIM($R55), StatusList, 0))), "Body overwritten/short", "")))))</f>
        <v/>
      </c>
    </row>
    <row r="56" spans="1:22" ht="15" customHeight="1">
      <c r="A56" s="12" t="str">
        <f>IF(AND($B56&lt;&gt;"",$C56&lt;&gt;"",$D56&lt;&gt;"",$E56&lt;&gt;"",$G56&lt;&gt;""),
UPPER(
LEFT(TRIM(LEFT($G56,IFERROR(FIND(";",$G56)-1,999))),1)&amp;
IFERROR(
MID(TRIM(LEFT($G56,IFERROR(FIND(";",$G56)-1,999))),
FIND(" ",TRIM(LEFT($G56,IFERROR(FIND(";",$G56)-1,999))))+1,1),
MID(TRIM(LEFT($G56,IFERROR(FIND(";",$G56)-1,999))),2,1)
)
)&amp;"-"&amp;TEXT($C56,"yyyy-mm-dd"),
"")</f>
        <v/>
      </c>
      <c r="B56" s="25"/>
      <c r="C56" s="34"/>
      <c r="D56" s="38"/>
      <c r="E56" s="38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16" t="str">
        <f>IF($L56&lt;&gt;"","Purpose "&amp;CHAR(10)&amp;$L56&amp;CHAR(10)&amp;CHAR(10),"")&amp;
IF($M56&lt;&gt;"","Stops (in order) "&amp;CHAR(10)&amp;$M56&amp;CHAR(10)&amp;CHAR(10),"")&amp;
IF($N56&lt;&gt;"","To-Do (hard requirements) "&amp;CHAR(10)&amp;$N56&amp;CHAR(10)&amp;CHAR(10),"")&amp;
IF($O56&lt;&gt;"","Suggested Timeline "&amp;CHAR(10)&amp;$O56&amp;CHAR(10)&amp;CHAR(10),"")&amp;
IF($P56&lt;&gt;"","Guardrails "&amp;CHAR(10)&amp;$P56&amp;CHAR(10)&amp;CHAR(10),"")&amp;
IF($Q56&lt;&gt;"","Completion signals "&amp;CHAR(10)&amp;$Q56,"")</f>
        <v/>
      </c>
      <c r="S56" s="25"/>
      <c r="T56" s="25"/>
      <c r="U56" s="8"/>
      <c r="V56" s="8" t="str">
        <f>_xlfn.SINGLE(IF($B56 = "", "", IF(_xlfn.SINGLE(_xlfn.TEXTJOIN(" | ", TRUE, IF($B56 = "", "Missing Title", ""), IF($C56 = "", "Missing Date", ""), IF($D56 = "", "Missing Start", ""), IF($E56 = "", "Missing End", ""), IF($G56 = "", "Missing Required Attendees", ""), IF($T56 = "", "Missing Status", ""), IF(AND($D56 &lt;&gt; "", $E56 &lt;&gt; "", $D56 &gt;= $E56), "Start&gt;=End", ""), IF(OR($R56 = "", LEN($R56) &lt; 60, ISNUMBER(MATCH(TRIM($R56), StatusList, 0))), "Body overwritten/short", ""))) = "", "OK", _xlfn.TEXTJOIN(" | ", TRUE, IF($B56 = "", "Missing Title", ""), IF($C56 = "", "Missing Date", ""), IF($D56 = "", "Missing Start", ""), IF($E56 = "", "Missing End", ""), IF($G56 = "", "Missing Required Attendees", ""), IF($T56 = "", "Missing Status", ""), IF(AND($D56 &lt;&gt; "", $E56 &lt;&gt; "", $D56 &gt;= $E56), "Start&gt;=End", ""), IF(OR($R56 = "", LEN($R56) &lt; 60, ISNUMBER(MATCH(TRIM($R56), StatusList, 0))), "Body overwritten/short", "")))))</f>
        <v/>
      </c>
    </row>
    <row r="57" spans="1:22" ht="15" customHeight="1">
      <c r="A57" s="12" t="str">
        <f>IF(AND($B57&lt;&gt;"",$C57&lt;&gt;"",$D57&lt;&gt;"",$E57&lt;&gt;"",$G57&lt;&gt;""),
UPPER(
LEFT(TRIM(LEFT($G57,IFERROR(FIND(";",$G57)-1,999))),1)&amp;
IFERROR(
MID(TRIM(LEFT($G57,IFERROR(FIND(";",$G57)-1,999))),
FIND(" ",TRIM(LEFT($G57,IFERROR(FIND(";",$G57)-1,999))))+1,1),
MID(TRIM(LEFT($G57,IFERROR(FIND(";",$G57)-1,999))),2,1)
)
)&amp;"-"&amp;TEXT($C57,"yyyy-mm-dd"),
"")</f>
        <v/>
      </c>
      <c r="B57" s="25"/>
      <c r="C57" s="34"/>
      <c r="D57" s="38"/>
      <c r="E57" s="38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16" t="str">
        <f>IF($L57&lt;&gt;"","Purpose "&amp;CHAR(10)&amp;$L57&amp;CHAR(10)&amp;CHAR(10),"")&amp;
IF($M57&lt;&gt;"","Stops (in order) "&amp;CHAR(10)&amp;$M57&amp;CHAR(10)&amp;CHAR(10),"")&amp;
IF($N57&lt;&gt;"","To-Do (hard requirements) "&amp;CHAR(10)&amp;$N57&amp;CHAR(10)&amp;CHAR(10),"")&amp;
IF($O57&lt;&gt;"","Suggested Timeline "&amp;CHAR(10)&amp;$O57&amp;CHAR(10)&amp;CHAR(10),"")&amp;
IF($P57&lt;&gt;"","Guardrails "&amp;CHAR(10)&amp;$P57&amp;CHAR(10)&amp;CHAR(10),"")&amp;
IF($Q57&lt;&gt;"","Completion signals "&amp;CHAR(10)&amp;$Q57,"")</f>
        <v/>
      </c>
      <c r="S57" s="25"/>
      <c r="T57" s="25"/>
      <c r="U57" s="8"/>
      <c r="V57" s="8" t="str">
        <f>_xlfn.SINGLE(IF($B57 = "", "", IF(_xlfn.SINGLE(_xlfn.TEXTJOIN(" | ", TRUE, IF($B57 = "", "Missing Title", ""), IF($C57 = "", "Missing Date", ""), IF($D57 = "", "Missing Start", ""), IF($E57 = "", "Missing End", ""), IF($G57 = "", "Missing Required Attendees", ""), IF($T57 = "", "Missing Status", ""), IF(AND($D57 &lt;&gt; "", $E57 &lt;&gt; "", $D57 &gt;= $E57), "Start&gt;=End", ""), IF(OR($R57 = "", LEN($R57) &lt; 60, ISNUMBER(MATCH(TRIM($R57), StatusList, 0))), "Body overwritten/short", ""))) = "", "OK", _xlfn.TEXTJOIN(" | ", TRUE, IF($B57 = "", "Missing Title", ""), IF($C57 = "", "Missing Date", ""), IF($D57 = "", "Missing Start", ""), IF($E57 = "", "Missing End", ""), IF($G57 = "", "Missing Required Attendees", ""), IF($T57 = "", "Missing Status", ""), IF(AND($D57 &lt;&gt; "", $E57 &lt;&gt; "", $D57 &gt;= $E57), "Start&gt;=End", ""), IF(OR($R57 = "", LEN($R57) &lt; 60, ISNUMBER(MATCH(TRIM($R57), StatusList, 0))), "Body overwritten/short", "")))))</f>
        <v/>
      </c>
    </row>
    <row r="58" spans="1:22" ht="15" customHeight="1">
      <c r="A58" s="12" t="str">
        <f>IF(AND($B58&lt;&gt;"",$C58&lt;&gt;"",$D58&lt;&gt;"",$E58&lt;&gt;"",$G58&lt;&gt;""),
UPPER(
LEFT(TRIM(LEFT($G58,IFERROR(FIND(";",$G58)-1,999))),1)&amp;
IFERROR(
MID(TRIM(LEFT($G58,IFERROR(FIND(";",$G58)-1,999))),
FIND(" ",TRIM(LEFT($G58,IFERROR(FIND(";",$G58)-1,999))))+1,1),
MID(TRIM(LEFT($G58,IFERROR(FIND(";",$G58)-1,999))),2,1)
)
)&amp;"-"&amp;TEXT($C58,"yyyy-mm-dd"),
"")</f>
        <v/>
      </c>
      <c r="B58" s="25"/>
      <c r="C58" s="34"/>
      <c r="D58" s="38"/>
      <c r="E58" s="38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16" t="str">
        <f>IF($L58&lt;&gt;"","Purpose "&amp;CHAR(10)&amp;$L58&amp;CHAR(10)&amp;CHAR(10),"")&amp;
IF($M58&lt;&gt;"","Stops (in order) "&amp;CHAR(10)&amp;$M58&amp;CHAR(10)&amp;CHAR(10),"")&amp;
IF($N58&lt;&gt;"","To-Do (hard requirements) "&amp;CHAR(10)&amp;$N58&amp;CHAR(10)&amp;CHAR(10),"")&amp;
IF($O58&lt;&gt;"","Suggested Timeline "&amp;CHAR(10)&amp;$O58&amp;CHAR(10)&amp;CHAR(10),"")&amp;
IF($P58&lt;&gt;"","Guardrails "&amp;CHAR(10)&amp;$P58&amp;CHAR(10)&amp;CHAR(10),"")&amp;
IF($Q58&lt;&gt;"","Completion signals "&amp;CHAR(10)&amp;$Q58,"")</f>
        <v/>
      </c>
      <c r="S58" s="25"/>
      <c r="T58" s="25"/>
      <c r="U58" s="8"/>
      <c r="V58" s="8" t="str">
        <f>_xlfn.SINGLE(IF($B58 = "", "", IF(_xlfn.SINGLE(_xlfn.TEXTJOIN(" | ", TRUE, IF($B58 = "", "Missing Title", ""), IF($C58 = "", "Missing Date", ""), IF($D58 = "", "Missing Start", ""), IF($E58 = "", "Missing End", ""), IF($G58 = "", "Missing Required Attendees", ""), IF($T58 = "", "Missing Status", ""), IF(AND($D58 &lt;&gt; "", $E58 &lt;&gt; "", $D58 &gt;= $E58), "Start&gt;=End", ""), IF(OR($R58 = "", LEN($R58) &lt; 60, ISNUMBER(MATCH(TRIM($R58), StatusList, 0))), "Body overwritten/short", ""))) = "", "OK", _xlfn.TEXTJOIN(" | ", TRUE, IF($B58 = "", "Missing Title", ""), IF($C58 = "", "Missing Date", ""), IF($D58 = "", "Missing Start", ""), IF($E58 = "", "Missing End", ""), IF($G58 = "", "Missing Required Attendees", ""), IF($T58 = "", "Missing Status", ""), IF(AND($D58 &lt;&gt; "", $E58 &lt;&gt; "", $D58 &gt;= $E58), "Start&gt;=End", ""), IF(OR($R58 = "", LEN($R58) &lt; 60, ISNUMBER(MATCH(TRIM($R58), StatusList, 0))), "Body overwritten/short", "")))))</f>
        <v/>
      </c>
    </row>
    <row r="59" spans="1:22" ht="15" customHeight="1">
      <c r="A59" s="12" t="str">
        <f>IF(AND($B59&lt;&gt;"",$C59&lt;&gt;"",$D59&lt;&gt;"",$E59&lt;&gt;"",$G59&lt;&gt;""),
UPPER(
LEFT(TRIM(LEFT($G59,IFERROR(FIND(";",$G59)-1,999))),1)&amp;
IFERROR(
MID(TRIM(LEFT($G59,IFERROR(FIND(";",$G59)-1,999))),
FIND(" ",TRIM(LEFT($G59,IFERROR(FIND(";",$G59)-1,999))))+1,1),
MID(TRIM(LEFT($G59,IFERROR(FIND(";",$G59)-1,999))),2,1)
)
)&amp;"-"&amp;TEXT($C59,"yyyy-mm-dd"),
"")</f>
        <v/>
      </c>
      <c r="B59" s="25"/>
      <c r="C59" s="34"/>
      <c r="D59" s="38"/>
      <c r="E59" s="38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16" t="str">
        <f>IF($L59&lt;&gt;"","Purpose "&amp;CHAR(10)&amp;$L59&amp;CHAR(10)&amp;CHAR(10),"")&amp;
IF($M59&lt;&gt;"","Stops (in order) "&amp;CHAR(10)&amp;$M59&amp;CHAR(10)&amp;CHAR(10),"")&amp;
IF($N59&lt;&gt;"","To-Do (hard requirements) "&amp;CHAR(10)&amp;$N59&amp;CHAR(10)&amp;CHAR(10),"")&amp;
IF($O59&lt;&gt;"","Suggested Timeline "&amp;CHAR(10)&amp;$O59&amp;CHAR(10)&amp;CHAR(10),"")&amp;
IF($P59&lt;&gt;"","Guardrails "&amp;CHAR(10)&amp;$P59&amp;CHAR(10)&amp;CHAR(10),"")&amp;
IF($Q59&lt;&gt;"","Completion signals "&amp;CHAR(10)&amp;$Q59,"")</f>
        <v/>
      </c>
      <c r="S59" s="25"/>
      <c r="T59" s="25"/>
      <c r="U59" s="8"/>
      <c r="V59" s="8" t="str">
        <f>_xlfn.SINGLE(IF($B59 = "", "", IF(_xlfn.SINGLE(_xlfn.TEXTJOIN(" | ", TRUE, IF($B59 = "", "Missing Title", ""), IF($C59 = "", "Missing Date", ""), IF($D59 = "", "Missing Start", ""), IF($E59 = "", "Missing End", ""), IF($G59 = "", "Missing Required Attendees", ""), IF($T59 = "", "Missing Status", ""), IF(AND($D59 &lt;&gt; "", $E59 &lt;&gt; "", $D59 &gt;= $E59), "Start&gt;=End", ""), IF(OR($R59 = "", LEN($R59) &lt; 60, ISNUMBER(MATCH(TRIM($R59), StatusList, 0))), "Body overwritten/short", ""))) = "", "OK", _xlfn.TEXTJOIN(" | ", TRUE, IF($B59 = "", "Missing Title", ""), IF($C59 = "", "Missing Date", ""), IF($D59 = "", "Missing Start", ""), IF($E59 = "", "Missing End", ""), IF($G59 = "", "Missing Required Attendees", ""), IF($T59 = "", "Missing Status", ""), IF(AND($D59 &lt;&gt; "", $E59 &lt;&gt; "", $D59 &gt;= $E59), "Start&gt;=End", ""), IF(OR($R59 = "", LEN($R59) &lt; 60, ISNUMBER(MATCH(TRIM($R59), StatusList, 0))), "Body overwritten/short", "")))))</f>
        <v/>
      </c>
    </row>
    <row r="60" spans="1:22" ht="15" customHeight="1">
      <c r="A60" s="12" t="str">
        <f>IF(AND($B60&lt;&gt;"",$C60&lt;&gt;"",$D60&lt;&gt;"",$E60&lt;&gt;"",$G60&lt;&gt;""),
UPPER(
LEFT(TRIM(LEFT($G60,IFERROR(FIND(";",$G60)-1,999))),1)&amp;
IFERROR(
MID(TRIM(LEFT($G60,IFERROR(FIND(";",$G60)-1,999))),
FIND(" ",TRIM(LEFT($G60,IFERROR(FIND(";",$G60)-1,999))))+1,1),
MID(TRIM(LEFT($G60,IFERROR(FIND(";",$G60)-1,999))),2,1)
)
)&amp;"-"&amp;TEXT($C60,"yyyy-mm-dd"),
"")</f>
        <v/>
      </c>
      <c r="B60" s="25"/>
      <c r="C60" s="34"/>
      <c r="D60" s="38"/>
      <c r="E60" s="38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16" t="str">
        <f>IF($L60&lt;&gt;"","Purpose "&amp;CHAR(10)&amp;$L60&amp;CHAR(10)&amp;CHAR(10),"")&amp;
IF($M60&lt;&gt;"","Stops (in order) "&amp;CHAR(10)&amp;$M60&amp;CHAR(10)&amp;CHAR(10),"")&amp;
IF($N60&lt;&gt;"","To-Do (hard requirements) "&amp;CHAR(10)&amp;$N60&amp;CHAR(10)&amp;CHAR(10),"")&amp;
IF($O60&lt;&gt;"","Suggested Timeline "&amp;CHAR(10)&amp;$O60&amp;CHAR(10)&amp;CHAR(10),"")&amp;
IF($P60&lt;&gt;"","Guardrails "&amp;CHAR(10)&amp;$P60&amp;CHAR(10)&amp;CHAR(10),"")&amp;
IF($Q60&lt;&gt;"","Completion signals "&amp;CHAR(10)&amp;$Q60,"")</f>
        <v/>
      </c>
      <c r="S60" s="25"/>
      <c r="T60" s="25"/>
      <c r="U60" s="8"/>
      <c r="V60" s="8" t="str">
        <f>_xlfn.SINGLE(IF($B60 = "", "", IF(_xlfn.SINGLE(_xlfn.TEXTJOIN(" | ", TRUE, IF($B60 = "", "Missing Title", ""), IF($C60 = "", "Missing Date", ""), IF($D60 = "", "Missing Start", ""), IF($E60 = "", "Missing End", ""), IF($G60 = "", "Missing Required Attendees", ""), IF($T60 = "", "Missing Status", ""), IF(AND($D60 &lt;&gt; "", $E60 &lt;&gt; "", $D60 &gt;= $E60), "Start&gt;=End", ""), IF(OR($R60 = "", LEN($R60) &lt; 60, ISNUMBER(MATCH(TRIM($R60), StatusList, 0))), "Body overwritten/short", ""))) = "", "OK", _xlfn.TEXTJOIN(" | ", TRUE, IF($B60 = "", "Missing Title", ""), IF($C60 = "", "Missing Date", ""), IF($D60 = "", "Missing Start", ""), IF($E60 = "", "Missing End", ""), IF($G60 = "", "Missing Required Attendees", ""), IF($T60 = "", "Missing Status", ""), IF(AND($D60 &lt;&gt; "", $E60 &lt;&gt; "", $D60 &gt;= $E60), "Start&gt;=End", ""), IF(OR($R60 = "", LEN($R60) &lt; 60, ISNUMBER(MATCH(TRIM($R60), StatusList, 0))), "Body overwritten/short", "")))))</f>
        <v/>
      </c>
    </row>
    <row r="61" spans="1:22" ht="15" customHeight="1">
      <c r="A61" s="12" t="str">
        <f>IF(AND($B61&lt;&gt;"",$C61&lt;&gt;"",$D61&lt;&gt;"",$E61&lt;&gt;"",$G61&lt;&gt;""),
UPPER(
LEFT(TRIM(LEFT($G61,IFERROR(FIND(";",$G61)-1,999))),1)&amp;
IFERROR(
MID(TRIM(LEFT($G61,IFERROR(FIND(";",$G61)-1,999))),
FIND(" ",TRIM(LEFT($G61,IFERROR(FIND(";",$G61)-1,999))))+1,1),
MID(TRIM(LEFT($G61,IFERROR(FIND(";",$G61)-1,999))),2,1)
)
)&amp;"-"&amp;TEXT($C61,"yyyy-mm-dd"),
"")</f>
        <v/>
      </c>
      <c r="B61" s="25"/>
      <c r="C61" s="34"/>
      <c r="D61" s="38"/>
      <c r="E61" s="38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16" t="str">
        <f>IF($L61&lt;&gt;"","Purpose "&amp;CHAR(10)&amp;$L61&amp;CHAR(10)&amp;CHAR(10),"")&amp;
IF($M61&lt;&gt;"","Stops (in order) "&amp;CHAR(10)&amp;$M61&amp;CHAR(10)&amp;CHAR(10),"")&amp;
IF($N61&lt;&gt;"","To-Do (hard requirements) "&amp;CHAR(10)&amp;$N61&amp;CHAR(10)&amp;CHAR(10),"")&amp;
IF($O61&lt;&gt;"","Suggested Timeline "&amp;CHAR(10)&amp;$O61&amp;CHAR(10)&amp;CHAR(10),"")&amp;
IF($P61&lt;&gt;"","Guardrails "&amp;CHAR(10)&amp;$P61&amp;CHAR(10)&amp;CHAR(10),"")&amp;
IF($Q61&lt;&gt;"","Completion signals "&amp;CHAR(10)&amp;$Q61,"")</f>
        <v/>
      </c>
      <c r="S61" s="25"/>
      <c r="T61" s="25"/>
      <c r="U61" s="8"/>
      <c r="V61" s="8" t="str">
        <f>_xlfn.SINGLE(IF($B61 = "", "", IF(_xlfn.SINGLE(_xlfn.TEXTJOIN(" | ", TRUE, IF($B61 = "", "Missing Title", ""), IF($C61 = "", "Missing Date", ""), IF($D61 = "", "Missing Start", ""), IF($E61 = "", "Missing End", ""), IF($G61 = "", "Missing Required Attendees", ""), IF($T61 = "", "Missing Status", ""), IF(AND($D61 &lt;&gt; "", $E61 &lt;&gt; "", $D61 &gt;= $E61), "Start&gt;=End", ""), IF(OR($R61 = "", LEN($R61) &lt; 60, ISNUMBER(MATCH(TRIM($R61), StatusList, 0))), "Body overwritten/short", ""))) = "", "OK", _xlfn.TEXTJOIN(" | ", TRUE, IF($B61 = "", "Missing Title", ""), IF($C61 = "", "Missing Date", ""), IF($D61 = "", "Missing Start", ""), IF($E61 = "", "Missing End", ""), IF($G61 = "", "Missing Required Attendees", ""), IF($T61 = "", "Missing Status", ""), IF(AND($D61 &lt;&gt; "", $E61 &lt;&gt; "", $D61 &gt;= $E61), "Start&gt;=End", ""), IF(OR($R61 = "", LEN($R61) &lt; 60, ISNUMBER(MATCH(TRIM($R61), StatusList, 0))), "Body overwritten/short", "")))))</f>
        <v/>
      </c>
    </row>
    <row r="62" spans="1:22" ht="15" customHeight="1">
      <c r="A62" s="12" t="str">
        <f>IF(AND($B62&lt;&gt;"",$C62&lt;&gt;"",$D62&lt;&gt;"",$E62&lt;&gt;"",$G62&lt;&gt;""),
UPPER(
LEFT(TRIM(LEFT($G62,IFERROR(FIND(";",$G62)-1,999))),1)&amp;
IFERROR(
MID(TRIM(LEFT($G62,IFERROR(FIND(";",$G62)-1,999))),
FIND(" ",TRIM(LEFT($G62,IFERROR(FIND(";",$G62)-1,999))))+1,1),
MID(TRIM(LEFT($G62,IFERROR(FIND(";",$G62)-1,999))),2,1)
)
)&amp;"-"&amp;TEXT($C62,"yyyy-mm-dd"),
"")</f>
        <v/>
      </c>
      <c r="B62" s="25"/>
      <c r="C62" s="34"/>
      <c r="D62" s="38"/>
      <c r="E62" s="38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16" t="str">
        <f>IF($L62&lt;&gt;"","Purpose "&amp;CHAR(10)&amp;$L62&amp;CHAR(10)&amp;CHAR(10),"")&amp;
IF($M62&lt;&gt;"","Stops (in order) "&amp;CHAR(10)&amp;$M62&amp;CHAR(10)&amp;CHAR(10),"")&amp;
IF($N62&lt;&gt;"","To-Do (hard requirements) "&amp;CHAR(10)&amp;$N62&amp;CHAR(10)&amp;CHAR(10),"")&amp;
IF($O62&lt;&gt;"","Suggested Timeline "&amp;CHAR(10)&amp;$O62&amp;CHAR(10)&amp;CHAR(10),"")&amp;
IF($P62&lt;&gt;"","Guardrails "&amp;CHAR(10)&amp;$P62&amp;CHAR(10)&amp;CHAR(10),"")&amp;
IF($Q62&lt;&gt;"","Completion signals "&amp;CHAR(10)&amp;$Q62,"")</f>
        <v/>
      </c>
      <c r="S62" s="25"/>
      <c r="T62" s="25"/>
      <c r="U62" s="8"/>
      <c r="V62" s="8" t="str">
        <f>_xlfn.SINGLE(IF($B62 = "", "", IF(_xlfn.SINGLE(_xlfn.TEXTJOIN(" | ", TRUE, IF($B62 = "", "Missing Title", ""), IF($C62 = "", "Missing Date", ""), IF($D62 = "", "Missing Start", ""), IF($E62 = "", "Missing End", ""), IF($G62 = "", "Missing Required Attendees", ""), IF($T62 = "", "Missing Status", ""), IF(AND($D62 &lt;&gt; "", $E62 &lt;&gt; "", $D62 &gt;= $E62), "Start&gt;=End", ""), IF(OR($R62 = "", LEN($R62) &lt; 60, ISNUMBER(MATCH(TRIM($R62), StatusList, 0))), "Body overwritten/short", ""))) = "", "OK", _xlfn.TEXTJOIN(" | ", TRUE, IF($B62 = "", "Missing Title", ""), IF($C62 = "", "Missing Date", ""), IF($D62 = "", "Missing Start", ""), IF($E62 = "", "Missing End", ""), IF($G62 = "", "Missing Required Attendees", ""), IF($T62 = "", "Missing Status", ""), IF(AND($D62 &lt;&gt; "", $E62 &lt;&gt; "", $D62 &gt;= $E62), "Start&gt;=End", ""), IF(OR($R62 = "", LEN($R62) &lt; 60, ISNUMBER(MATCH(TRIM($R62), StatusList, 0))), "Body overwritten/short", "")))))</f>
        <v/>
      </c>
    </row>
    <row r="63" spans="1:22" ht="15" customHeight="1">
      <c r="A63" s="12" t="str">
        <f>IF(AND($B63&lt;&gt;"",$C63&lt;&gt;"",$D63&lt;&gt;"",$E63&lt;&gt;"",$G63&lt;&gt;""),
UPPER(
LEFT(TRIM(LEFT($G63,IFERROR(FIND(";",$G63)-1,999))),1)&amp;
IFERROR(
MID(TRIM(LEFT($G63,IFERROR(FIND(";",$G63)-1,999))),
FIND(" ",TRIM(LEFT($G63,IFERROR(FIND(";",$G63)-1,999))))+1,1),
MID(TRIM(LEFT($G63,IFERROR(FIND(";",$G63)-1,999))),2,1)
)
)&amp;"-"&amp;TEXT($C63,"yyyy-mm-dd"),
"")</f>
        <v/>
      </c>
      <c r="B63" s="25"/>
      <c r="C63" s="34"/>
      <c r="D63" s="38"/>
      <c r="E63" s="38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16" t="str">
        <f>IF($L63&lt;&gt;"","Purpose "&amp;CHAR(10)&amp;$L63&amp;CHAR(10)&amp;CHAR(10),"")&amp;
IF($M63&lt;&gt;"","Stops (in order) "&amp;CHAR(10)&amp;$M63&amp;CHAR(10)&amp;CHAR(10),"")&amp;
IF($N63&lt;&gt;"","To-Do (hard requirements) "&amp;CHAR(10)&amp;$N63&amp;CHAR(10)&amp;CHAR(10),"")&amp;
IF($O63&lt;&gt;"","Suggested Timeline "&amp;CHAR(10)&amp;$O63&amp;CHAR(10)&amp;CHAR(10),"")&amp;
IF($P63&lt;&gt;"","Guardrails "&amp;CHAR(10)&amp;$P63&amp;CHAR(10)&amp;CHAR(10),"")&amp;
IF($Q63&lt;&gt;"","Completion signals "&amp;CHAR(10)&amp;$Q63,"")</f>
        <v/>
      </c>
      <c r="S63" s="25"/>
      <c r="T63" s="25"/>
      <c r="U63" s="8"/>
      <c r="V63" s="8" t="str">
        <f>_xlfn.SINGLE(IF($B63 = "", "", IF(_xlfn.SINGLE(_xlfn.TEXTJOIN(" | ", TRUE, IF($B63 = "", "Missing Title", ""), IF($C63 = "", "Missing Date", ""), IF($D63 = "", "Missing Start", ""), IF($E63 = "", "Missing End", ""), IF($G63 = "", "Missing Required Attendees", ""), IF($T63 = "", "Missing Status", ""), IF(AND($D63 &lt;&gt; "", $E63 &lt;&gt; "", $D63 &gt;= $E63), "Start&gt;=End", ""), IF(OR($R63 = "", LEN($R63) &lt; 60, ISNUMBER(MATCH(TRIM($R63), StatusList, 0))), "Body overwritten/short", ""))) = "", "OK", _xlfn.TEXTJOIN(" | ", TRUE, IF($B63 = "", "Missing Title", ""), IF($C63 = "", "Missing Date", ""), IF($D63 = "", "Missing Start", ""), IF($E63 = "", "Missing End", ""), IF($G63 = "", "Missing Required Attendees", ""), IF($T63 = "", "Missing Status", ""), IF(AND($D63 &lt;&gt; "", $E63 &lt;&gt; "", $D63 &gt;= $E63), "Start&gt;=End", ""), IF(OR($R63 = "", LEN($R63) &lt; 60, ISNUMBER(MATCH(TRIM($R63), StatusList, 0))), "Body overwritten/short", "")))))</f>
        <v/>
      </c>
    </row>
    <row r="64" spans="1:22" ht="15" customHeight="1">
      <c r="A64" s="12" t="str">
        <f>IF(AND($B64&lt;&gt;"",$C64&lt;&gt;"",$D64&lt;&gt;"",$E64&lt;&gt;"",$G64&lt;&gt;""),
UPPER(
LEFT(TRIM(LEFT($G64,IFERROR(FIND(";",$G64)-1,999))),1)&amp;
IFERROR(
MID(TRIM(LEFT($G64,IFERROR(FIND(";",$G64)-1,999))),
FIND(" ",TRIM(LEFT($G64,IFERROR(FIND(";",$G64)-1,999))))+1,1),
MID(TRIM(LEFT($G64,IFERROR(FIND(";",$G64)-1,999))),2,1)
)
)&amp;"-"&amp;TEXT($C64,"yyyy-mm-dd"),
"")</f>
        <v/>
      </c>
      <c r="B64" s="25"/>
      <c r="C64" s="34"/>
      <c r="D64" s="38"/>
      <c r="E64" s="38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16" t="str">
        <f>IF($L64&lt;&gt;"","Purpose "&amp;CHAR(10)&amp;$L64&amp;CHAR(10)&amp;CHAR(10),"")&amp;
IF($M64&lt;&gt;"","Stops (in order) "&amp;CHAR(10)&amp;$M64&amp;CHAR(10)&amp;CHAR(10),"")&amp;
IF($N64&lt;&gt;"","To-Do (hard requirements) "&amp;CHAR(10)&amp;$N64&amp;CHAR(10)&amp;CHAR(10),"")&amp;
IF($O64&lt;&gt;"","Suggested Timeline "&amp;CHAR(10)&amp;$O64&amp;CHAR(10)&amp;CHAR(10),"")&amp;
IF($P64&lt;&gt;"","Guardrails "&amp;CHAR(10)&amp;$P64&amp;CHAR(10)&amp;CHAR(10),"")&amp;
IF($Q64&lt;&gt;"","Completion signals "&amp;CHAR(10)&amp;$Q64,"")</f>
        <v/>
      </c>
      <c r="S64" s="25"/>
      <c r="T64" s="25"/>
      <c r="U64" s="8"/>
      <c r="V64" s="8" t="str">
        <f>_xlfn.SINGLE(IF($B64 = "", "", IF(_xlfn.SINGLE(_xlfn.TEXTJOIN(" | ", TRUE, IF($B64 = "", "Missing Title", ""), IF($C64 = "", "Missing Date", ""), IF($D64 = "", "Missing Start", ""), IF($E64 = "", "Missing End", ""), IF($G64 = "", "Missing Required Attendees", ""), IF($T64 = "", "Missing Status", ""), IF(AND($D64 &lt;&gt; "", $E64 &lt;&gt; "", $D64 &gt;= $E64), "Start&gt;=End", ""), IF(OR($R64 = "", LEN($R64) &lt; 60, ISNUMBER(MATCH(TRIM($R64), StatusList, 0))), "Body overwritten/short", ""))) = "", "OK", _xlfn.TEXTJOIN(" | ", TRUE, IF($B64 = "", "Missing Title", ""), IF($C64 = "", "Missing Date", ""), IF($D64 = "", "Missing Start", ""), IF($E64 = "", "Missing End", ""), IF($G64 = "", "Missing Required Attendees", ""), IF($T64 = "", "Missing Status", ""), IF(AND($D64 &lt;&gt; "", $E64 &lt;&gt; "", $D64 &gt;= $E64), "Start&gt;=End", ""), IF(OR($R64 = "", LEN($R64) &lt; 60, ISNUMBER(MATCH(TRIM($R64), StatusList, 0))), "Body overwritten/short", "")))))</f>
        <v/>
      </c>
    </row>
    <row r="65" spans="1:22" ht="15" customHeight="1">
      <c r="A65" s="12" t="str">
        <f>IF(AND($B65&lt;&gt;"",$C65&lt;&gt;"",$D65&lt;&gt;"",$E65&lt;&gt;"",$G65&lt;&gt;""),
UPPER(
LEFT(TRIM(LEFT($G65,IFERROR(FIND(";",$G65)-1,999))),1)&amp;
IFERROR(
MID(TRIM(LEFT($G65,IFERROR(FIND(";",$G65)-1,999))),
FIND(" ",TRIM(LEFT($G65,IFERROR(FIND(";",$G65)-1,999))))+1,1),
MID(TRIM(LEFT($G65,IFERROR(FIND(";",$G65)-1,999))),2,1)
)
)&amp;"-"&amp;TEXT($C65,"yyyy-mm-dd"),
"")</f>
        <v/>
      </c>
      <c r="B65" s="25"/>
      <c r="C65" s="34"/>
      <c r="D65" s="38"/>
      <c r="E65" s="38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16" t="str">
        <f>IF($L65&lt;&gt;"","Purpose "&amp;CHAR(10)&amp;$L65&amp;CHAR(10)&amp;CHAR(10),"")&amp;
IF($M65&lt;&gt;"","Stops (in order) "&amp;CHAR(10)&amp;$M65&amp;CHAR(10)&amp;CHAR(10),"")&amp;
IF($N65&lt;&gt;"","To-Do (hard requirements) "&amp;CHAR(10)&amp;$N65&amp;CHAR(10)&amp;CHAR(10),"")&amp;
IF($O65&lt;&gt;"","Suggested Timeline "&amp;CHAR(10)&amp;$O65&amp;CHAR(10)&amp;CHAR(10),"")&amp;
IF($P65&lt;&gt;"","Guardrails "&amp;CHAR(10)&amp;$P65&amp;CHAR(10)&amp;CHAR(10),"")&amp;
IF($Q65&lt;&gt;"","Completion signals "&amp;CHAR(10)&amp;$Q65,"")</f>
        <v/>
      </c>
      <c r="S65" s="25"/>
      <c r="T65" s="25"/>
      <c r="U65" s="8"/>
      <c r="V65" s="8" t="str">
        <f>_xlfn.SINGLE(IF($B65 = "", "", IF(_xlfn.SINGLE(_xlfn.TEXTJOIN(" | ", TRUE, IF($B65 = "", "Missing Title", ""), IF($C65 = "", "Missing Date", ""), IF($D65 = "", "Missing Start", ""), IF($E65 = "", "Missing End", ""), IF($G65 = "", "Missing Required Attendees", ""), IF($T65 = "", "Missing Status", ""), IF(AND($D65 &lt;&gt; "", $E65 &lt;&gt; "", $D65 &gt;= $E65), "Start&gt;=End", ""), IF(OR($R65 = "", LEN($R65) &lt; 60, ISNUMBER(MATCH(TRIM($R65), StatusList, 0))), "Body overwritten/short", ""))) = "", "OK", _xlfn.TEXTJOIN(" | ", TRUE, IF($B65 = "", "Missing Title", ""), IF($C65 = "", "Missing Date", ""), IF($D65 = "", "Missing Start", ""), IF($E65 = "", "Missing End", ""), IF($G65 = "", "Missing Required Attendees", ""), IF($T65 = "", "Missing Status", ""), IF(AND($D65 &lt;&gt; "", $E65 &lt;&gt; "", $D65 &gt;= $E65), "Start&gt;=End", ""), IF(OR($R65 = "", LEN($R65) &lt; 60, ISNUMBER(MATCH(TRIM($R65), StatusList, 0))), "Body overwritten/short", "")))))</f>
        <v/>
      </c>
    </row>
    <row r="66" spans="1:22" ht="15" customHeight="1">
      <c r="A66" s="12" t="str">
        <f>IF(AND($B66&lt;&gt;"",$C66&lt;&gt;"",$D66&lt;&gt;"",$E66&lt;&gt;"",$G66&lt;&gt;""),
UPPER(
LEFT(TRIM(LEFT($G66,IFERROR(FIND(";",$G66)-1,999))),1)&amp;
IFERROR(
MID(TRIM(LEFT($G66,IFERROR(FIND(";",$G66)-1,999))),
FIND(" ",TRIM(LEFT($G66,IFERROR(FIND(";",$G66)-1,999))))+1,1),
MID(TRIM(LEFT($G66,IFERROR(FIND(";",$G66)-1,999))),2,1)
)
)&amp;"-"&amp;TEXT($C66,"yyyy-mm-dd"),
"")</f>
        <v/>
      </c>
      <c r="B66" s="25"/>
      <c r="C66" s="34"/>
      <c r="D66" s="38"/>
      <c r="E66" s="38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16" t="str">
        <f>IF($L66&lt;&gt;"","Purpose "&amp;CHAR(10)&amp;$L66&amp;CHAR(10)&amp;CHAR(10),"")&amp;
IF($M66&lt;&gt;"","Stops (in order) "&amp;CHAR(10)&amp;$M66&amp;CHAR(10)&amp;CHAR(10),"")&amp;
IF($N66&lt;&gt;"","To-Do (hard requirements) "&amp;CHAR(10)&amp;$N66&amp;CHAR(10)&amp;CHAR(10),"")&amp;
IF($O66&lt;&gt;"","Suggested Timeline "&amp;CHAR(10)&amp;$O66&amp;CHAR(10)&amp;CHAR(10),"")&amp;
IF($P66&lt;&gt;"","Guardrails "&amp;CHAR(10)&amp;$P66&amp;CHAR(10)&amp;CHAR(10),"")&amp;
IF($Q66&lt;&gt;"","Completion signals "&amp;CHAR(10)&amp;$Q66,"")</f>
        <v/>
      </c>
      <c r="S66" s="25"/>
      <c r="T66" s="25"/>
      <c r="U66" s="8"/>
      <c r="V66" s="8" t="str">
        <f>_xlfn.SINGLE(IF($B66 = "", "", IF(_xlfn.SINGLE(_xlfn.TEXTJOIN(" | ", TRUE, IF($B66 = "", "Missing Title", ""), IF($C66 = "", "Missing Date", ""), IF($D66 = "", "Missing Start", ""), IF($E66 = "", "Missing End", ""), IF($G66 = "", "Missing Required Attendees", ""), IF($T66 = "", "Missing Status", ""), IF(AND($D66 &lt;&gt; "", $E66 &lt;&gt; "", $D66 &gt;= $E66), "Start&gt;=End", ""), IF(OR($R66 = "", LEN($R66) &lt; 60, ISNUMBER(MATCH(TRIM($R66), StatusList, 0))), "Body overwritten/short", ""))) = "", "OK", _xlfn.TEXTJOIN(" | ", TRUE, IF($B66 = "", "Missing Title", ""), IF($C66 = "", "Missing Date", ""), IF($D66 = "", "Missing Start", ""), IF($E66 = "", "Missing End", ""), IF($G66 = "", "Missing Required Attendees", ""), IF($T66 = "", "Missing Status", ""), IF(AND($D66 &lt;&gt; "", $E66 &lt;&gt; "", $D66 &gt;= $E66), "Start&gt;=End", ""), IF(OR($R66 = "", LEN($R66) &lt; 60, ISNUMBER(MATCH(TRIM($R66), StatusList, 0))), "Body overwritten/short", "")))))</f>
        <v/>
      </c>
    </row>
    <row r="67" spans="1:22" ht="15" customHeight="1">
      <c r="A67" s="12" t="str">
        <f>IF(AND($B67&lt;&gt;"",$C67&lt;&gt;"",$D67&lt;&gt;"",$E67&lt;&gt;"",$G67&lt;&gt;""),
UPPER(
LEFT(TRIM(LEFT($G67,IFERROR(FIND(";",$G67)-1,999))),1)&amp;
IFERROR(
MID(TRIM(LEFT($G67,IFERROR(FIND(";",$G67)-1,999))),
FIND(" ",TRIM(LEFT($G67,IFERROR(FIND(";",$G67)-1,999))))+1,1),
MID(TRIM(LEFT($G67,IFERROR(FIND(";",$G67)-1,999))),2,1)
)
)&amp;"-"&amp;TEXT($C67,"yyyy-mm-dd"),
"")</f>
        <v/>
      </c>
      <c r="B67" s="25"/>
      <c r="C67" s="34"/>
      <c r="D67" s="38"/>
      <c r="E67" s="38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16" t="str">
        <f>IF($L67&lt;&gt;"","Purpose "&amp;CHAR(10)&amp;$L67&amp;CHAR(10)&amp;CHAR(10),"")&amp;
IF($M67&lt;&gt;"","Stops (in order) "&amp;CHAR(10)&amp;$M67&amp;CHAR(10)&amp;CHAR(10),"")&amp;
IF($N67&lt;&gt;"","To-Do (hard requirements) "&amp;CHAR(10)&amp;$N67&amp;CHAR(10)&amp;CHAR(10),"")&amp;
IF($O67&lt;&gt;"","Suggested Timeline "&amp;CHAR(10)&amp;$O67&amp;CHAR(10)&amp;CHAR(10),"")&amp;
IF($P67&lt;&gt;"","Guardrails "&amp;CHAR(10)&amp;$P67&amp;CHAR(10)&amp;CHAR(10),"")&amp;
IF($Q67&lt;&gt;"","Completion signals "&amp;CHAR(10)&amp;$Q67,"")</f>
        <v/>
      </c>
      <c r="S67" s="25"/>
      <c r="T67" s="25"/>
      <c r="U67" s="8"/>
      <c r="V67" s="8" t="str">
        <f>_xlfn.SINGLE(IF($B67 = "", "", IF(_xlfn.SINGLE(_xlfn.TEXTJOIN(" | ", TRUE, IF($B67 = "", "Missing Title", ""), IF($C67 = "", "Missing Date", ""), IF($D67 = "", "Missing Start", ""), IF($E67 = "", "Missing End", ""), IF($G67 = "", "Missing Required Attendees", ""), IF($T67 = "", "Missing Status", ""), IF(AND($D67 &lt;&gt; "", $E67 &lt;&gt; "", $D67 &gt;= $E67), "Start&gt;=End", ""), IF(OR($R67 = "", LEN($R67) &lt; 60, ISNUMBER(MATCH(TRIM($R67), StatusList, 0))), "Body overwritten/short", ""))) = "", "OK", _xlfn.TEXTJOIN(" | ", TRUE, IF($B67 = "", "Missing Title", ""), IF($C67 = "", "Missing Date", ""), IF($D67 = "", "Missing Start", ""), IF($E67 = "", "Missing End", ""), IF($G67 = "", "Missing Required Attendees", ""), IF($T67 = "", "Missing Status", ""), IF(AND($D67 &lt;&gt; "", $E67 &lt;&gt; "", $D67 &gt;= $E67), "Start&gt;=End", ""), IF(OR($R67 = "", LEN($R67) &lt; 60, ISNUMBER(MATCH(TRIM($R67), StatusList, 0))), "Body overwritten/short", "")))))</f>
        <v/>
      </c>
    </row>
    <row r="68" spans="1:22" ht="15" customHeight="1">
      <c r="A68" s="12" t="str">
        <f>IF(AND($B68&lt;&gt;"",$C68&lt;&gt;"",$D68&lt;&gt;"",$E68&lt;&gt;"",$G68&lt;&gt;""),
UPPER(
LEFT(TRIM(LEFT($G68,IFERROR(FIND(";",$G68)-1,999))),1)&amp;
IFERROR(
MID(TRIM(LEFT($G68,IFERROR(FIND(";",$G68)-1,999))),
FIND(" ",TRIM(LEFT($G68,IFERROR(FIND(";",$G68)-1,999))))+1,1),
MID(TRIM(LEFT($G68,IFERROR(FIND(";",$G68)-1,999))),2,1)
)
)&amp;"-"&amp;TEXT($C68,"yyyy-mm-dd"),
"")</f>
        <v/>
      </c>
      <c r="B68" s="25"/>
      <c r="C68" s="34"/>
      <c r="D68" s="38"/>
      <c r="E68" s="38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16" t="str">
        <f>IF($L68&lt;&gt;"","Purpose "&amp;CHAR(10)&amp;$L68&amp;CHAR(10)&amp;CHAR(10),"")&amp;
IF($M68&lt;&gt;"","Stops (in order) "&amp;CHAR(10)&amp;$M68&amp;CHAR(10)&amp;CHAR(10),"")&amp;
IF($N68&lt;&gt;"","To-Do (hard requirements) "&amp;CHAR(10)&amp;$N68&amp;CHAR(10)&amp;CHAR(10),"")&amp;
IF($O68&lt;&gt;"","Suggested Timeline "&amp;CHAR(10)&amp;$O68&amp;CHAR(10)&amp;CHAR(10),"")&amp;
IF($P68&lt;&gt;"","Guardrails "&amp;CHAR(10)&amp;$P68&amp;CHAR(10)&amp;CHAR(10),"")&amp;
IF($Q68&lt;&gt;"","Completion signals "&amp;CHAR(10)&amp;$Q68,"")</f>
        <v/>
      </c>
      <c r="S68" s="25"/>
      <c r="T68" s="25"/>
      <c r="U68" s="8"/>
      <c r="V68" s="8" t="str">
        <f>_xlfn.SINGLE(IF($B68 = "", "", IF(_xlfn.SINGLE(_xlfn.TEXTJOIN(" | ", TRUE, IF($B68 = "", "Missing Title", ""), IF($C68 = "", "Missing Date", ""), IF($D68 = "", "Missing Start", ""), IF($E68 = "", "Missing End", ""), IF($G68 = "", "Missing Required Attendees", ""), IF($T68 = "", "Missing Status", ""), IF(AND($D68 &lt;&gt; "", $E68 &lt;&gt; "", $D68 &gt;= $E68), "Start&gt;=End", ""), IF(OR($R68 = "", LEN($R68) &lt; 60, ISNUMBER(MATCH(TRIM($R68), StatusList, 0))), "Body overwritten/short", ""))) = "", "OK", _xlfn.TEXTJOIN(" | ", TRUE, IF($B68 = "", "Missing Title", ""), IF($C68 = "", "Missing Date", ""), IF($D68 = "", "Missing Start", ""), IF($E68 = "", "Missing End", ""), IF($G68 = "", "Missing Required Attendees", ""), IF($T68 = "", "Missing Status", ""), IF(AND($D68 &lt;&gt; "", $E68 &lt;&gt; "", $D68 &gt;= $E68), "Start&gt;=End", ""), IF(OR($R68 = "", LEN($R68) &lt; 60, ISNUMBER(MATCH(TRIM($R68), StatusList, 0))), "Body overwritten/short", "")))))</f>
        <v/>
      </c>
    </row>
    <row r="69" spans="1:22" ht="15" customHeight="1">
      <c r="A69" s="12" t="str">
        <f>IF(AND($B69&lt;&gt;"",$C69&lt;&gt;"",$D69&lt;&gt;"",$E69&lt;&gt;"",$G69&lt;&gt;""),
UPPER(
LEFT(TRIM(LEFT($G69,IFERROR(FIND(";",$G69)-1,999))),1)&amp;
IFERROR(
MID(TRIM(LEFT($G69,IFERROR(FIND(";",$G69)-1,999))),
FIND(" ",TRIM(LEFT($G69,IFERROR(FIND(";",$G69)-1,999))))+1,1),
MID(TRIM(LEFT($G69,IFERROR(FIND(";",$G69)-1,999))),2,1)
)
)&amp;"-"&amp;TEXT($C69,"yyyy-mm-dd"),
"")</f>
        <v/>
      </c>
      <c r="B69" s="25"/>
      <c r="C69" s="34"/>
      <c r="D69" s="38"/>
      <c r="E69" s="38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16" t="str">
        <f>IF($L69&lt;&gt;"","Purpose "&amp;CHAR(10)&amp;$L69&amp;CHAR(10)&amp;CHAR(10),"")&amp;
IF($M69&lt;&gt;"","Stops (in order) "&amp;CHAR(10)&amp;$M69&amp;CHAR(10)&amp;CHAR(10),"")&amp;
IF($N69&lt;&gt;"","To-Do (hard requirements) "&amp;CHAR(10)&amp;$N69&amp;CHAR(10)&amp;CHAR(10),"")&amp;
IF($O69&lt;&gt;"","Suggested Timeline "&amp;CHAR(10)&amp;$O69&amp;CHAR(10)&amp;CHAR(10),"")&amp;
IF($P69&lt;&gt;"","Guardrails "&amp;CHAR(10)&amp;$P69&amp;CHAR(10)&amp;CHAR(10),"")&amp;
IF($Q69&lt;&gt;"","Completion signals "&amp;CHAR(10)&amp;$Q69,"")</f>
        <v/>
      </c>
      <c r="S69" s="25"/>
      <c r="T69" s="25"/>
      <c r="U69" s="8"/>
      <c r="V69" s="8" t="str">
        <f>_xlfn.SINGLE(IF($B69 = "", "", IF(_xlfn.SINGLE(_xlfn.TEXTJOIN(" | ", TRUE, IF($B69 = "", "Missing Title", ""), IF($C69 = "", "Missing Date", ""), IF($D69 = "", "Missing Start", ""), IF($E69 = "", "Missing End", ""), IF($G69 = "", "Missing Required Attendees", ""), IF($T69 = "", "Missing Status", ""), IF(AND($D69 &lt;&gt; "", $E69 &lt;&gt; "", $D69 &gt;= $E69), "Start&gt;=End", ""), IF(OR($R69 = "", LEN($R69) &lt; 60, ISNUMBER(MATCH(TRIM($R69), StatusList, 0))), "Body overwritten/short", ""))) = "", "OK", _xlfn.TEXTJOIN(" | ", TRUE, IF($B69 = "", "Missing Title", ""), IF($C69 = "", "Missing Date", ""), IF($D69 = "", "Missing Start", ""), IF($E69 = "", "Missing End", ""), IF($G69 = "", "Missing Required Attendees", ""), IF($T69 = "", "Missing Status", ""), IF(AND($D69 &lt;&gt; "", $E69 &lt;&gt; "", $D69 &gt;= $E69), "Start&gt;=End", ""), IF(OR($R69 = "", LEN($R69) &lt; 60, ISNUMBER(MATCH(TRIM($R69), StatusList, 0))), "Body overwritten/short", "")))))</f>
        <v/>
      </c>
    </row>
    <row r="70" spans="1:22" ht="15" customHeight="1">
      <c r="A70" s="12" t="str">
        <f>IF(AND($B70&lt;&gt;"",$C70&lt;&gt;"",$D70&lt;&gt;"",$E70&lt;&gt;"",$G70&lt;&gt;""),
UPPER(
LEFT(TRIM(LEFT($G70,IFERROR(FIND(";",$G70)-1,999))),1)&amp;
IFERROR(
MID(TRIM(LEFT($G70,IFERROR(FIND(";",$G70)-1,999))),
FIND(" ",TRIM(LEFT($G70,IFERROR(FIND(";",$G70)-1,999))))+1,1),
MID(TRIM(LEFT($G70,IFERROR(FIND(";",$G70)-1,999))),2,1)
)
)&amp;"-"&amp;TEXT($C70,"yyyy-mm-dd"),
"")</f>
        <v/>
      </c>
      <c r="B70" s="25"/>
      <c r="C70" s="34"/>
      <c r="D70" s="38"/>
      <c r="E70" s="38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16" t="str">
        <f>IF($L70&lt;&gt;"","Purpose "&amp;CHAR(10)&amp;$L70&amp;CHAR(10)&amp;CHAR(10),"")&amp;
IF($M70&lt;&gt;"","Stops (in order) "&amp;CHAR(10)&amp;$M70&amp;CHAR(10)&amp;CHAR(10),"")&amp;
IF($N70&lt;&gt;"","To-Do (hard requirements) "&amp;CHAR(10)&amp;$N70&amp;CHAR(10)&amp;CHAR(10),"")&amp;
IF($O70&lt;&gt;"","Suggested Timeline "&amp;CHAR(10)&amp;$O70&amp;CHAR(10)&amp;CHAR(10),"")&amp;
IF($P70&lt;&gt;"","Guardrails "&amp;CHAR(10)&amp;$P70&amp;CHAR(10)&amp;CHAR(10),"")&amp;
IF($Q70&lt;&gt;"","Completion signals "&amp;CHAR(10)&amp;$Q70,"")</f>
        <v/>
      </c>
      <c r="S70" s="25"/>
      <c r="T70" s="25"/>
      <c r="U70" s="8"/>
      <c r="V70" s="8" t="str">
        <f>_xlfn.SINGLE(IF($B70 = "", "", IF(_xlfn.SINGLE(_xlfn.TEXTJOIN(" | ", TRUE, IF($B70 = "", "Missing Title", ""), IF($C70 = "", "Missing Date", ""), IF($D70 = "", "Missing Start", ""), IF($E70 = "", "Missing End", ""), IF($G70 = "", "Missing Required Attendees", ""), IF($T70 = "", "Missing Status", ""), IF(AND($D70 &lt;&gt; "", $E70 &lt;&gt; "", $D70 &gt;= $E70), "Start&gt;=End", ""), IF(OR($R70 = "", LEN($R70) &lt; 60, ISNUMBER(MATCH(TRIM($R70), StatusList, 0))), "Body overwritten/short", ""))) = "", "OK", _xlfn.TEXTJOIN(" | ", TRUE, IF($B70 = "", "Missing Title", ""), IF($C70 = "", "Missing Date", ""), IF($D70 = "", "Missing Start", ""), IF($E70 = "", "Missing End", ""), IF($G70 = "", "Missing Required Attendees", ""), IF($T70 = "", "Missing Status", ""), IF(AND($D70 &lt;&gt; "", $E70 &lt;&gt; "", $D70 &gt;= $E70), "Start&gt;=End", ""), IF(OR($R70 = "", LEN($R70) &lt; 60, ISNUMBER(MATCH(TRIM($R70), StatusList, 0))), "Body overwritten/short", "")))))</f>
        <v/>
      </c>
    </row>
    <row r="71" spans="1:22" ht="15" customHeight="1">
      <c r="A71" s="12" t="str">
        <f>IF(AND($B71&lt;&gt;"",$C71&lt;&gt;"",$D71&lt;&gt;"",$E71&lt;&gt;"",$G71&lt;&gt;""),
UPPER(
LEFT(TRIM(LEFT($G71,IFERROR(FIND(";",$G71)-1,999))),1)&amp;
IFERROR(
MID(TRIM(LEFT($G71,IFERROR(FIND(";",$G71)-1,999))),
FIND(" ",TRIM(LEFT($G71,IFERROR(FIND(";",$G71)-1,999))))+1,1),
MID(TRIM(LEFT($G71,IFERROR(FIND(";",$G71)-1,999))),2,1)
)
)&amp;"-"&amp;TEXT($C71,"yyyy-mm-dd"),
"")</f>
        <v/>
      </c>
      <c r="B71" s="25"/>
      <c r="C71" s="34"/>
      <c r="D71" s="38"/>
      <c r="E71" s="38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16" t="str">
        <f>IF($L71&lt;&gt;"","Purpose "&amp;CHAR(10)&amp;$L71&amp;CHAR(10)&amp;CHAR(10),"")&amp;
IF($M71&lt;&gt;"","Stops (in order) "&amp;CHAR(10)&amp;$M71&amp;CHAR(10)&amp;CHAR(10),"")&amp;
IF($N71&lt;&gt;"","To-Do (hard requirements) "&amp;CHAR(10)&amp;$N71&amp;CHAR(10)&amp;CHAR(10),"")&amp;
IF($O71&lt;&gt;"","Suggested Timeline "&amp;CHAR(10)&amp;$O71&amp;CHAR(10)&amp;CHAR(10),"")&amp;
IF($P71&lt;&gt;"","Guardrails "&amp;CHAR(10)&amp;$P71&amp;CHAR(10)&amp;CHAR(10),"")&amp;
IF($Q71&lt;&gt;"","Completion signals "&amp;CHAR(10)&amp;$Q71,"")</f>
        <v/>
      </c>
      <c r="S71" s="25"/>
      <c r="T71" s="25"/>
      <c r="U71" s="8"/>
      <c r="V71" s="8" t="str">
        <f>_xlfn.SINGLE(IF($B71 = "", "", IF(_xlfn.SINGLE(_xlfn.TEXTJOIN(" | ", TRUE, IF($B71 = "", "Missing Title", ""), IF($C71 = "", "Missing Date", ""), IF($D71 = "", "Missing Start", ""), IF($E71 = "", "Missing End", ""), IF($G71 = "", "Missing Required Attendees", ""), IF($T71 = "", "Missing Status", ""), IF(AND($D71 &lt;&gt; "", $E71 &lt;&gt; "", $D71 &gt;= $E71), "Start&gt;=End", ""), IF(OR($R71 = "", LEN($R71) &lt; 60, ISNUMBER(MATCH(TRIM($R71), StatusList, 0))), "Body overwritten/short", ""))) = "", "OK", _xlfn.TEXTJOIN(" | ", TRUE, IF($B71 = "", "Missing Title", ""), IF($C71 = "", "Missing Date", ""), IF($D71 = "", "Missing Start", ""), IF($E71 = "", "Missing End", ""), IF($G71 = "", "Missing Required Attendees", ""), IF($T71 = "", "Missing Status", ""), IF(AND($D71 &lt;&gt; "", $E71 &lt;&gt; "", $D71 &gt;= $E71), "Start&gt;=End", ""), IF(OR($R71 = "", LEN($R71) &lt; 60, ISNUMBER(MATCH(TRIM($R71), StatusList, 0))), "Body overwritten/short", "")))))</f>
        <v/>
      </c>
    </row>
    <row r="72" spans="1:22" ht="15" customHeight="1">
      <c r="A72" s="12" t="str">
        <f>IF(AND($B72&lt;&gt;"",$C72&lt;&gt;"",$D72&lt;&gt;"",$E72&lt;&gt;"",$G72&lt;&gt;""),
UPPER(
LEFT(TRIM(LEFT($G72,IFERROR(FIND(";",$G72)-1,999))),1)&amp;
IFERROR(
MID(TRIM(LEFT($G72,IFERROR(FIND(";",$G72)-1,999))),
FIND(" ",TRIM(LEFT($G72,IFERROR(FIND(";",$G72)-1,999))))+1,1),
MID(TRIM(LEFT($G72,IFERROR(FIND(";",$G72)-1,999))),2,1)
)
)&amp;"-"&amp;TEXT($C72,"yyyy-mm-dd"),
"")</f>
        <v/>
      </c>
      <c r="B72" s="25"/>
      <c r="C72" s="34"/>
      <c r="D72" s="38"/>
      <c r="E72" s="38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16" t="str">
        <f>IF($L72&lt;&gt;"","Purpose "&amp;CHAR(10)&amp;$L72&amp;CHAR(10)&amp;CHAR(10),"")&amp;
IF($M72&lt;&gt;"","Stops (in order) "&amp;CHAR(10)&amp;$M72&amp;CHAR(10)&amp;CHAR(10),"")&amp;
IF($N72&lt;&gt;"","To-Do (hard requirements) "&amp;CHAR(10)&amp;$N72&amp;CHAR(10)&amp;CHAR(10),"")&amp;
IF($O72&lt;&gt;"","Suggested Timeline "&amp;CHAR(10)&amp;$O72&amp;CHAR(10)&amp;CHAR(10),"")&amp;
IF($P72&lt;&gt;"","Guardrails "&amp;CHAR(10)&amp;$P72&amp;CHAR(10)&amp;CHAR(10),"")&amp;
IF($Q72&lt;&gt;"","Completion signals "&amp;CHAR(10)&amp;$Q72,"")</f>
        <v/>
      </c>
      <c r="S72" s="25"/>
      <c r="T72" s="25"/>
      <c r="U72" s="8"/>
      <c r="V72" s="8" t="str">
        <f>_xlfn.SINGLE(IF($B72 = "", "", IF(_xlfn.SINGLE(_xlfn.TEXTJOIN(" | ", TRUE, IF($B72 = "", "Missing Title", ""), IF($C72 = "", "Missing Date", ""), IF($D72 = "", "Missing Start", ""), IF($E72 = "", "Missing End", ""), IF($G72 = "", "Missing Required Attendees", ""), IF($T72 = "", "Missing Status", ""), IF(AND($D72 &lt;&gt; "", $E72 &lt;&gt; "", $D72 &gt;= $E72), "Start&gt;=End", ""), IF(OR($R72 = "", LEN($R72) &lt; 60, ISNUMBER(MATCH(TRIM($R72), StatusList, 0))), "Body overwritten/short", ""))) = "", "OK", _xlfn.TEXTJOIN(" | ", TRUE, IF($B72 = "", "Missing Title", ""), IF($C72 = "", "Missing Date", ""), IF($D72 = "", "Missing Start", ""), IF($E72 = "", "Missing End", ""), IF($G72 = "", "Missing Required Attendees", ""), IF($T72 = "", "Missing Status", ""), IF(AND($D72 &lt;&gt; "", $E72 &lt;&gt; "", $D72 &gt;= $E72), "Start&gt;=End", ""), IF(OR($R72 = "", LEN($R72) &lt; 60, ISNUMBER(MATCH(TRIM($R72), StatusList, 0))), "Body overwritten/short", "")))))</f>
        <v/>
      </c>
    </row>
    <row r="73" spans="1:22" ht="15" customHeight="1">
      <c r="A73" s="12" t="str">
        <f>IF(AND($B73&lt;&gt;"",$C73&lt;&gt;"",$D73&lt;&gt;"",$E73&lt;&gt;"",$G73&lt;&gt;""),
UPPER(
LEFT(TRIM(LEFT($G73,IFERROR(FIND(";",$G73)-1,999))),1)&amp;
IFERROR(
MID(TRIM(LEFT($G73,IFERROR(FIND(";",$G73)-1,999))),
FIND(" ",TRIM(LEFT($G73,IFERROR(FIND(";",$G73)-1,999))))+1,1),
MID(TRIM(LEFT($G73,IFERROR(FIND(";",$G73)-1,999))),2,1)
)
)&amp;"-"&amp;TEXT($C73,"yyyy-mm-dd"),
"")</f>
        <v/>
      </c>
      <c r="B73" s="25"/>
      <c r="C73" s="34"/>
      <c r="D73" s="38"/>
      <c r="E73" s="38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16" t="str">
        <f>IF($L73&lt;&gt;"","Purpose "&amp;CHAR(10)&amp;$L73&amp;CHAR(10)&amp;CHAR(10),"")&amp;
IF($M73&lt;&gt;"","Stops (in order) "&amp;CHAR(10)&amp;$M73&amp;CHAR(10)&amp;CHAR(10),"")&amp;
IF($N73&lt;&gt;"","To-Do (hard requirements) "&amp;CHAR(10)&amp;$N73&amp;CHAR(10)&amp;CHAR(10),"")&amp;
IF($O73&lt;&gt;"","Suggested Timeline "&amp;CHAR(10)&amp;$O73&amp;CHAR(10)&amp;CHAR(10),"")&amp;
IF($P73&lt;&gt;"","Guardrails "&amp;CHAR(10)&amp;$P73&amp;CHAR(10)&amp;CHAR(10),"")&amp;
IF($Q73&lt;&gt;"","Completion signals "&amp;CHAR(10)&amp;$Q73,"")</f>
        <v/>
      </c>
      <c r="S73" s="25"/>
      <c r="T73" s="25"/>
      <c r="U73" s="8"/>
      <c r="V73" s="8" t="str">
        <f>_xlfn.SINGLE(IF($B73 = "", "", IF(_xlfn.SINGLE(_xlfn.TEXTJOIN(" | ", TRUE, IF($B73 = "", "Missing Title", ""), IF($C73 = "", "Missing Date", ""), IF($D73 = "", "Missing Start", ""), IF($E73 = "", "Missing End", ""), IF($G73 = "", "Missing Required Attendees", ""), IF($T73 = "", "Missing Status", ""), IF(AND($D73 &lt;&gt; "", $E73 &lt;&gt; "", $D73 &gt;= $E73), "Start&gt;=End", ""), IF(OR($R73 = "", LEN($R73) &lt; 60, ISNUMBER(MATCH(TRIM($R73), StatusList, 0))), "Body overwritten/short", ""))) = "", "OK", _xlfn.TEXTJOIN(" | ", TRUE, IF($B73 = "", "Missing Title", ""), IF($C73 = "", "Missing Date", ""), IF($D73 = "", "Missing Start", ""), IF($E73 = "", "Missing End", ""), IF($G73 = "", "Missing Required Attendees", ""), IF($T73 = "", "Missing Status", ""), IF(AND($D73 &lt;&gt; "", $E73 &lt;&gt; "", $D73 &gt;= $E73), "Start&gt;=End", ""), IF(OR($R73 = "", LEN($R73) &lt; 60, ISNUMBER(MATCH(TRIM($R73), StatusList, 0))), "Body overwritten/short", "")))))</f>
        <v/>
      </c>
    </row>
    <row r="74" spans="1:22" ht="15" customHeight="1">
      <c r="A74" s="12" t="str">
        <f>IF(AND($B74&lt;&gt;"",$C74&lt;&gt;"",$D74&lt;&gt;"",$E74&lt;&gt;"",$G74&lt;&gt;""),
UPPER(
LEFT(TRIM(LEFT($G74,IFERROR(FIND(";",$G74)-1,999))),1)&amp;
IFERROR(
MID(TRIM(LEFT($G74,IFERROR(FIND(";",$G74)-1,999))),
FIND(" ",TRIM(LEFT($G74,IFERROR(FIND(";",$G74)-1,999))))+1,1),
MID(TRIM(LEFT($G74,IFERROR(FIND(";",$G74)-1,999))),2,1)
)
)&amp;"-"&amp;TEXT($C74,"yyyy-mm-dd"),
"")</f>
        <v/>
      </c>
      <c r="B74" s="25"/>
      <c r="C74" s="34"/>
      <c r="D74" s="38"/>
      <c r="E74" s="38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16" t="str">
        <f>IF($L74&lt;&gt;"","Purpose "&amp;CHAR(10)&amp;$L74&amp;CHAR(10)&amp;CHAR(10),"")&amp;
IF($M74&lt;&gt;"","Stops (in order) "&amp;CHAR(10)&amp;$M74&amp;CHAR(10)&amp;CHAR(10),"")&amp;
IF($N74&lt;&gt;"","To-Do (hard requirements) "&amp;CHAR(10)&amp;$N74&amp;CHAR(10)&amp;CHAR(10),"")&amp;
IF($O74&lt;&gt;"","Suggested Timeline "&amp;CHAR(10)&amp;$O74&amp;CHAR(10)&amp;CHAR(10),"")&amp;
IF($P74&lt;&gt;"","Guardrails "&amp;CHAR(10)&amp;$P74&amp;CHAR(10)&amp;CHAR(10),"")&amp;
IF($Q74&lt;&gt;"","Completion signals "&amp;CHAR(10)&amp;$Q74,"")</f>
        <v/>
      </c>
      <c r="S74" s="25"/>
      <c r="T74" s="25"/>
      <c r="U74" s="8"/>
      <c r="V74" s="8" t="str">
        <f>_xlfn.SINGLE(IF($B74 = "", "", IF(_xlfn.SINGLE(_xlfn.TEXTJOIN(" | ", TRUE, IF($B74 = "", "Missing Title", ""), IF($C74 = "", "Missing Date", ""), IF($D74 = "", "Missing Start", ""), IF($E74 = "", "Missing End", ""), IF($G74 = "", "Missing Required Attendees", ""), IF($T74 = "", "Missing Status", ""), IF(AND($D74 &lt;&gt; "", $E74 &lt;&gt; "", $D74 &gt;= $E74), "Start&gt;=End", ""), IF(OR($R74 = "", LEN($R74) &lt; 60, ISNUMBER(MATCH(TRIM($R74), StatusList, 0))), "Body overwritten/short", ""))) = "", "OK", _xlfn.TEXTJOIN(" | ", TRUE, IF($B74 = "", "Missing Title", ""), IF($C74 = "", "Missing Date", ""), IF($D74 = "", "Missing Start", ""), IF($E74 = "", "Missing End", ""), IF($G74 = "", "Missing Required Attendees", ""), IF($T74 = "", "Missing Status", ""), IF(AND($D74 &lt;&gt; "", $E74 &lt;&gt; "", $D74 &gt;= $E74), "Start&gt;=End", ""), IF(OR($R74 = "", LEN($R74) &lt; 60, ISNUMBER(MATCH(TRIM($R74), StatusList, 0))), "Body overwritten/short", "")))))</f>
        <v/>
      </c>
    </row>
    <row r="75" spans="1:22" ht="15" customHeight="1">
      <c r="A75" s="12" t="str">
        <f>IF(AND($B75&lt;&gt;"",$C75&lt;&gt;"",$D75&lt;&gt;"",$E75&lt;&gt;"",$G75&lt;&gt;""),
UPPER(
LEFT(TRIM(LEFT($G75,IFERROR(FIND(";",$G75)-1,999))),1)&amp;
IFERROR(
MID(TRIM(LEFT($G75,IFERROR(FIND(";",$G75)-1,999))),
FIND(" ",TRIM(LEFT($G75,IFERROR(FIND(";",$G75)-1,999))))+1,1),
MID(TRIM(LEFT($G75,IFERROR(FIND(";",$G75)-1,999))),2,1)
)
)&amp;"-"&amp;TEXT($C75,"yyyy-mm-dd"),
"")</f>
        <v/>
      </c>
      <c r="B75" s="25"/>
      <c r="C75" s="34"/>
      <c r="D75" s="38"/>
      <c r="E75" s="38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16" t="str">
        <f>IF($L75&lt;&gt;"","Purpose "&amp;CHAR(10)&amp;$L75&amp;CHAR(10)&amp;CHAR(10),"")&amp;
IF($M75&lt;&gt;"","Stops (in order) "&amp;CHAR(10)&amp;$M75&amp;CHAR(10)&amp;CHAR(10),"")&amp;
IF($N75&lt;&gt;"","To-Do (hard requirements) "&amp;CHAR(10)&amp;$N75&amp;CHAR(10)&amp;CHAR(10),"")&amp;
IF($O75&lt;&gt;"","Suggested Timeline "&amp;CHAR(10)&amp;$O75&amp;CHAR(10)&amp;CHAR(10),"")&amp;
IF($P75&lt;&gt;"","Guardrails "&amp;CHAR(10)&amp;$P75&amp;CHAR(10)&amp;CHAR(10),"")&amp;
IF($Q75&lt;&gt;"","Completion signals "&amp;CHAR(10)&amp;$Q75,"")</f>
        <v/>
      </c>
      <c r="S75" s="25"/>
      <c r="T75" s="25"/>
      <c r="U75" s="8"/>
      <c r="V75" s="8" t="str">
        <f>_xlfn.SINGLE(IF($B75 = "", "", IF(_xlfn.SINGLE(_xlfn.TEXTJOIN(" | ", TRUE, IF($B75 = "", "Missing Title", ""), IF($C75 = "", "Missing Date", ""), IF($D75 = "", "Missing Start", ""), IF($E75 = "", "Missing End", ""), IF($G75 = "", "Missing Required Attendees", ""), IF($T75 = "", "Missing Status", ""), IF(AND($D75 &lt;&gt; "", $E75 &lt;&gt; "", $D75 &gt;= $E75), "Start&gt;=End", ""), IF(OR($R75 = "", LEN($R75) &lt; 60, ISNUMBER(MATCH(TRIM($R75), StatusList, 0))), "Body overwritten/short", ""))) = "", "OK", _xlfn.TEXTJOIN(" | ", TRUE, IF($B75 = "", "Missing Title", ""), IF($C75 = "", "Missing Date", ""), IF($D75 = "", "Missing Start", ""), IF($E75 = "", "Missing End", ""), IF($G75 = "", "Missing Required Attendees", ""), IF($T75 = "", "Missing Status", ""), IF(AND($D75 &lt;&gt; "", $E75 &lt;&gt; "", $D75 &gt;= $E75), "Start&gt;=End", ""), IF(OR($R75 = "", LEN($R75) &lt; 60, ISNUMBER(MATCH(TRIM($R75), StatusList, 0))), "Body overwritten/short", "")))))</f>
        <v/>
      </c>
    </row>
    <row r="76" spans="1:22" ht="15" customHeight="1">
      <c r="A76" s="12" t="str">
        <f>IF(AND($B76&lt;&gt;"",$C76&lt;&gt;"",$D76&lt;&gt;"",$E76&lt;&gt;"",$G76&lt;&gt;""),
UPPER(
LEFT(TRIM(LEFT($G76,IFERROR(FIND(";",$G76)-1,999))),1)&amp;
IFERROR(
MID(TRIM(LEFT($G76,IFERROR(FIND(";",$G76)-1,999))),
FIND(" ",TRIM(LEFT($G76,IFERROR(FIND(";",$G76)-1,999))))+1,1),
MID(TRIM(LEFT($G76,IFERROR(FIND(";",$G76)-1,999))),2,1)
)
)&amp;"-"&amp;TEXT($C76,"yyyy-mm-dd"),
"")</f>
        <v/>
      </c>
      <c r="B76" s="25"/>
      <c r="C76" s="34"/>
      <c r="D76" s="38"/>
      <c r="E76" s="38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16" t="str">
        <f>IF($L76&lt;&gt;"","Purpose "&amp;CHAR(10)&amp;$L76&amp;CHAR(10)&amp;CHAR(10),"")&amp;
IF($M76&lt;&gt;"","Stops (in order) "&amp;CHAR(10)&amp;$M76&amp;CHAR(10)&amp;CHAR(10),"")&amp;
IF($N76&lt;&gt;"","To-Do (hard requirements) "&amp;CHAR(10)&amp;$N76&amp;CHAR(10)&amp;CHAR(10),"")&amp;
IF($O76&lt;&gt;"","Suggested Timeline "&amp;CHAR(10)&amp;$O76&amp;CHAR(10)&amp;CHAR(10),"")&amp;
IF($P76&lt;&gt;"","Guardrails "&amp;CHAR(10)&amp;$P76&amp;CHAR(10)&amp;CHAR(10),"")&amp;
IF($Q76&lt;&gt;"","Completion signals "&amp;CHAR(10)&amp;$Q76,"")</f>
        <v/>
      </c>
      <c r="S76" s="25"/>
      <c r="T76" s="25"/>
      <c r="U76" s="8"/>
      <c r="V76" s="8" t="str">
        <f>_xlfn.SINGLE(IF($B76 = "", "", IF(_xlfn.SINGLE(_xlfn.TEXTJOIN(" | ", TRUE, IF($B76 = "", "Missing Title", ""), IF($C76 = "", "Missing Date", ""), IF($D76 = "", "Missing Start", ""), IF($E76 = "", "Missing End", ""), IF($G76 = "", "Missing Required Attendees", ""), IF($T76 = "", "Missing Status", ""), IF(AND($D76 &lt;&gt; "", $E76 &lt;&gt; "", $D76 &gt;= $E76), "Start&gt;=End", ""), IF(OR($R76 = "", LEN($R76) &lt; 60, ISNUMBER(MATCH(TRIM($R76), StatusList, 0))), "Body overwritten/short", ""))) = "", "OK", _xlfn.TEXTJOIN(" | ", TRUE, IF($B76 = "", "Missing Title", ""), IF($C76 = "", "Missing Date", ""), IF($D76 = "", "Missing Start", ""), IF($E76 = "", "Missing End", ""), IF($G76 = "", "Missing Required Attendees", ""), IF($T76 = "", "Missing Status", ""), IF(AND($D76 &lt;&gt; "", $E76 &lt;&gt; "", $D76 &gt;= $E76), "Start&gt;=End", ""), IF(OR($R76 = "", LEN($R76) &lt; 60, ISNUMBER(MATCH(TRIM($R76), StatusList, 0))), "Body overwritten/short", "")))))</f>
        <v/>
      </c>
    </row>
    <row r="77" spans="1:22" ht="15" customHeight="1">
      <c r="A77" s="12" t="str">
        <f>IF(AND($B77&lt;&gt;"",$C77&lt;&gt;"",$D77&lt;&gt;"",$E77&lt;&gt;"",$G77&lt;&gt;""),
UPPER(
LEFT(TRIM(LEFT($G77,IFERROR(FIND(";",$G77)-1,999))),1)&amp;
IFERROR(
MID(TRIM(LEFT($G77,IFERROR(FIND(";",$G77)-1,999))),
FIND(" ",TRIM(LEFT($G77,IFERROR(FIND(";",$G77)-1,999))))+1,1),
MID(TRIM(LEFT($G77,IFERROR(FIND(";",$G77)-1,999))),2,1)
)
)&amp;"-"&amp;TEXT($C77,"yyyy-mm-dd"),
"")</f>
        <v/>
      </c>
      <c r="B77" s="25"/>
      <c r="C77" s="34"/>
      <c r="D77" s="38"/>
      <c r="E77" s="38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16" t="str">
        <f>IF($L77&lt;&gt;"","Purpose "&amp;CHAR(10)&amp;$L77&amp;CHAR(10)&amp;CHAR(10),"")&amp;
IF($M77&lt;&gt;"","Stops (in order) "&amp;CHAR(10)&amp;$M77&amp;CHAR(10)&amp;CHAR(10),"")&amp;
IF($N77&lt;&gt;"","To-Do (hard requirements) "&amp;CHAR(10)&amp;$N77&amp;CHAR(10)&amp;CHAR(10),"")&amp;
IF($O77&lt;&gt;"","Suggested Timeline "&amp;CHAR(10)&amp;$O77&amp;CHAR(10)&amp;CHAR(10),"")&amp;
IF($P77&lt;&gt;"","Guardrails "&amp;CHAR(10)&amp;$P77&amp;CHAR(10)&amp;CHAR(10),"")&amp;
IF($Q77&lt;&gt;"","Completion signals "&amp;CHAR(10)&amp;$Q77,"")</f>
        <v/>
      </c>
      <c r="S77" s="25"/>
      <c r="T77" s="25"/>
      <c r="U77" s="8"/>
      <c r="V77" s="8" t="str">
        <f>_xlfn.SINGLE(IF($B77 = "", "", IF(_xlfn.SINGLE(_xlfn.TEXTJOIN(" | ", TRUE, IF($B77 = "", "Missing Title", ""), IF($C77 = "", "Missing Date", ""), IF($D77 = "", "Missing Start", ""), IF($E77 = "", "Missing End", ""), IF($G77 = "", "Missing Required Attendees", ""), IF($T77 = "", "Missing Status", ""), IF(AND($D77 &lt;&gt; "", $E77 &lt;&gt; "", $D77 &gt;= $E77), "Start&gt;=End", ""), IF(OR($R77 = "", LEN($R77) &lt; 60, ISNUMBER(MATCH(TRIM($R77), StatusList, 0))), "Body overwritten/short", ""))) = "", "OK", _xlfn.TEXTJOIN(" | ", TRUE, IF($B77 = "", "Missing Title", ""), IF($C77 = "", "Missing Date", ""), IF($D77 = "", "Missing Start", ""), IF($E77 = "", "Missing End", ""), IF($G77 = "", "Missing Required Attendees", ""), IF($T77 = "", "Missing Status", ""), IF(AND($D77 &lt;&gt; "", $E77 &lt;&gt; "", $D77 &gt;= $E77), "Start&gt;=End", ""), IF(OR($R77 = "", LEN($R77) &lt; 60, ISNUMBER(MATCH(TRIM($R77), StatusList, 0))), "Body overwritten/short", "")))))</f>
        <v/>
      </c>
    </row>
    <row r="78" spans="1:22" ht="15" customHeight="1">
      <c r="A78" s="12" t="str">
        <f>IF(AND($B78&lt;&gt;"",$C78&lt;&gt;"",$D78&lt;&gt;"",$E78&lt;&gt;"",$G78&lt;&gt;""),
UPPER(
LEFT(TRIM(LEFT($G78,IFERROR(FIND(";",$G78)-1,999))),1)&amp;
IFERROR(
MID(TRIM(LEFT($G78,IFERROR(FIND(";",$G78)-1,999))),
FIND(" ",TRIM(LEFT($G78,IFERROR(FIND(";",$G78)-1,999))))+1,1),
MID(TRIM(LEFT($G78,IFERROR(FIND(";",$G78)-1,999))),2,1)
)
)&amp;"-"&amp;TEXT($C78,"yyyy-mm-dd"),
"")</f>
        <v/>
      </c>
      <c r="B78" s="25"/>
      <c r="C78" s="34"/>
      <c r="D78" s="38"/>
      <c r="E78" s="38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16" t="str">
        <f>IF($L78&lt;&gt;"","Purpose "&amp;CHAR(10)&amp;$L78&amp;CHAR(10)&amp;CHAR(10),"")&amp;
IF($M78&lt;&gt;"","Stops (in order) "&amp;CHAR(10)&amp;$M78&amp;CHAR(10)&amp;CHAR(10),"")&amp;
IF($N78&lt;&gt;"","To-Do (hard requirements) "&amp;CHAR(10)&amp;$N78&amp;CHAR(10)&amp;CHAR(10),"")&amp;
IF($O78&lt;&gt;"","Suggested Timeline "&amp;CHAR(10)&amp;$O78&amp;CHAR(10)&amp;CHAR(10),"")&amp;
IF($P78&lt;&gt;"","Guardrails "&amp;CHAR(10)&amp;$P78&amp;CHAR(10)&amp;CHAR(10),"")&amp;
IF($Q78&lt;&gt;"","Completion signals "&amp;CHAR(10)&amp;$Q78,"")</f>
        <v/>
      </c>
      <c r="S78" s="25"/>
      <c r="T78" s="25"/>
      <c r="U78" s="8"/>
      <c r="V78" s="8" t="str">
        <f>_xlfn.SINGLE(IF($B78 = "", "", IF(_xlfn.SINGLE(_xlfn.TEXTJOIN(" | ", TRUE, IF($B78 = "", "Missing Title", ""), IF($C78 = "", "Missing Date", ""), IF($D78 = "", "Missing Start", ""), IF($E78 = "", "Missing End", ""), IF($G78 = "", "Missing Required Attendees", ""), IF($T78 = "", "Missing Status", ""), IF(AND($D78 &lt;&gt; "", $E78 &lt;&gt; "", $D78 &gt;= $E78), "Start&gt;=End", ""), IF(OR($R78 = "", LEN($R78) &lt; 60, ISNUMBER(MATCH(TRIM($R78), StatusList, 0))), "Body overwritten/short", ""))) = "", "OK", _xlfn.TEXTJOIN(" | ", TRUE, IF($B78 = "", "Missing Title", ""), IF($C78 = "", "Missing Date", ""), IF($D78 = "", "Missing Start", ""), IF($E78 = "", "Missing End", ""), IF($G78 = "", "Missing Required Attendees", ""), IF($T78 = "", "Missing Status", ""), IF(AND($D78 &lt;&gt; "", $E78 &lt;&gt; "", $D78 &gt;= $E78), "Start&gt;=End", ""), IF(OR($R78 = "", LEN($R78) &lt; 60, ISNUMBER(MATCH(TRIM($R78), StatusList, 0))), "Body overwritten/short", "")))))</f>
        <v/>
      </c>
    </row>
    <row r="79" spans="1:22" ht="15" customHeight="1">
      <c r="A79" s="12" t="str">
        <f>IF(AND($B79&lt;&gt;"",$C79&lt;&gt;"",$D79&lt;&gt;"",$E79&lt;&gt;"",$G79&lt;&gt;""),
UPPER(
LEFT(TRIM(LEFT($G79,IFERROR(FIND(";",$G79)-1,999))),1)&amp;
IFERROR(
MID(TRIM(LEFT($G79,IFERROR(FIND(";",$G79)-1,999))),
FIND(" ",TRIM(LEFT($G79,IFERROR(FIND(";",$G79)-1,999))))+1,1),
MID(TRIM(LEFT($G79,IFERROR(FIND(";",$G79)-1,999))),2,1)
)
)&amp;"-"&amp;TEXT($C79,"yyyy-mm-dd"),
"")</f>
        <v/>
      </c>
      <c r="B79" s="25"/>
      <c r="C79" s="34"/>
      <c r="D79" s="38"/>
      <c r="E79" s="38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16" t="str">
        <f>IF($L79&lt;&gt;"","Purpose "&amp;CHAR(10)&amp;$L79&amp;CHAR(10)&amp;CHAR(10),"")&amp;
IF($M79&lt;&gt;"","Stops (in order) "&amp;CHAR(10)&amp;$M79&amp;CHAR(10)&amp;CHAR(10),"")&amp;
IF($N79&lt;&gt;"","To-Do (hard requirements) "&amp;CHAR(10)&amp;$N79&amp;CHAR(10)&amp;CHAR(10),"")&amp;
IF($O79&lt;&gt;"","Suggested Timeline "&amp;CHAR(10)&amp;$O79&amp;CHAR(10)&amp;CHAR(10),"")&amp;
IF($P79&lt;&gt;"","Guardrails "&amp;CHAR(10)&amp;$P79&amp;CHAR(10)&amp;CHAR(10),"")&amp;
IF($Q79&lt;&gt;"","Completion signals "&amp;CHAR(10)&amp;$Q79,"")</f>
        <v/>
      </c>
      <c r="S79" s="25"/>
      <c r="T79" s="25"/>
      <c r="U79" s="8"/>
      <c r="V79" s="8" t="str">
        <f>_xlfn.SINGLE(IF($B79 = "", "", IF(_xlfn.SINGLE(_xlfn.TEXTJOIN(" | ", TRUE, IF($B79 = "", "Missing Title", ""), IF($C79 = "", "Missing Date", ""), IF($D79 = "", "Missing Start", ""), IF($E79 = "", "Missing End", ""), IF($G79 = "", "Missing Required Attendees", ""), IF($T79 = "", "Missing Status", ""), IF(AND($D79 &lt;&gt; "", $E79 &lt;&gt; "", $D79 &gt;= $E79), "Start&gt;=End", ""), IF(OR($R79 = "", LEN($R79) &lt; 60, ISNUMBER(MATCH(TRIM($R79), StatusList, 0))), "Body overwritten/short", ""))) = "", "OK", _xlfn.TEXTJOIN(" | ", TRUE, IF($B79 = "", "Missing Title", ""), IF($C79 = "", "Missing Date", ""), IF($D79 = "", "Missing Start", ""), IF($E79 = "", "Missing End", ""), IF($G79 = "", "Missing Required Attendees", ""), IF($T79 = "", "Missing Status", ""), IF(AND($D79 &lt;&gt; "", $E79 &lt;&gt; "", $D79 &gt;= $E79), "Start&gt;=End", ""), IF(OR($R79 = "", LEN($R79) &lt; 60, ISNUMBER(MATCH(TRIM($R79), StatusList, 0))), "Body overwritten/short", "")))))</f>
        <v/>
      </c>
    </row>
    <row r="80" spans="1:22" ht="15" customHeight="1">
      <c r="A80" s="12" t="str">
        <f>IF(AND($B80&lt;&gt;"",$C80&lt;&gt;"",$D80&lt;&gt;"",$E80&lt;&gt;"",$G80&lt;&gt;""),
UPPER(
LEFT(TRIM(LEFT($G80,IFERROR(FIND(";",$G80)-1,999))),1)&amp;
IFERROR(
MID(TRIM(LEFT($G80,IFERROR(FIND(";",$G80)-1,999))),
FIND(" ",TRIM(LEFT($G80,IFERROR(FIND(";",$G80)-1,999))))+1,1),
MID(TRIM(LEFT($G80,IFERROR(FIND(";",$G80)-1,999))),2,1)
)
)&amp;"-"&amp;TEXT($C80,"yyyy-mm-dd"),
"")</f>
        <v/>
      </c>
      <c r="B80" s="25"/>
      <c r="C80" s="34"/>
      <c r="D80" s="38"/>
      <c r="E80" s="38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16" t="str">
        <f>IF($L80&lt;&gt;"","Purpose "&amp;CHAR(10)&amp;$L80&amp;CHAR(10)&amp;CHAR(10),"")&amp;
IF($M80&lt;&gt;"","Stops (in order) "&amp;CHAR(10)&amp;$M80&amp;CHAR(10)&amp;CHAR(10),"")&amp;
IF($N80&lt;&gt;"","To-Do (hard requirements) "&amp;CHAR(10)&amp;$N80&amp;CHAR(10)&amp;CHAR(10),"")&amp;
IF($O80&lt;&gt;"","Suggested Timeline "&amp;CHAR(10)&amp;$O80&amp;CHAR(10)&amp;CHAR(10),"")&amp;
IF($P80&lt;&gt;"","Guardrails "&amp;CHAR(10)&amp;$P80&amp;CHAR(10)&amp;CHAR(10),"")&amp;
IF($Q80&lt;&gt;"","Completion signals "&amp;CHAR(10)&amp;$Q80,"")</f>
        <v/>
      </c>
      <c r="S80" s="25"/>
      <c r="T80" s="25"/>
      <c r="U80" s="8"/>
      <c r="V80" s="8" t="str">
        <f>_xlfn.SINGLE(IF($B80 = "", "", IF(_xlfn.SINGLE(_xlfn.TEXTJOIN(" | ", TRUE, IF($B80 = "", "Missing Title", ""), IF($C80 = "", "Missing Date", ""), IF($D80 = "", "Missing Start", ""), IF($E80 = "", "Missing End", ""), IF($G80 = "", "Missing Required Attendees", ""), IF($T80 = "", "Missing Status", ""), IF(AND($D80 &lt;&gt; "", $E80 &lt;&gt; "", $D80 &gt;= $E80), "Start&gt;=End", ""), IF(OR($R80 = "", LEN($R80) &lt; 60, ISNUMBER(MATCH(TRIM($R80), StatusList, 0))), "Body overwritten/short", ""))) = "", "OK", _xlfn.TEXTJOIN(" | ", TRUE, IF($B80 = "", "Missing Title", ""), IF($C80 = "", "Missing Date", ""), IF($D80 = "", "Missing Start", ""), IF($E80 = "", "Missing End", ""), IF($G80 = "", "Missing Required Attendees", ""), IF($T80 = "", "Missing Status", ""), IF(AND($D80 &lt;&gt; "", $E80 &lt;&gt; "", $D80 &gt;= $E80), "Start&gt;=End", ""), IF(OR($R80 = "", LEN($R80) &lt; 60, ISNUMBER(MATCH(TRIM($R80), StatusList, 0))), "Body overwritten/short", "")))))</f>
        <v/>
      </c>
    </row>
    <row r="81" spans="1:22" ht="15" customHeight="1">
      <c r="A81" s="12" t="str">
        <f>IF(AND($B81&lt;&gt;"",$C81&lt;&gt;"",$D81&lt;&gt;"",$E81&lt;&gt;"",$G81&lt;&gt;""),
UPPER(
LEFT(TRIM(LEFT($G81,IFERROR(FIND(";",$G81)-1,999))),1)&amp;
IFERROR(
MID(TRIM(LEFT($G81,IFERROR(FIND(";",$G81)-1,999))),
FIND(" ",TRIM(LEFT($G81,IFERROR(FIND(";",$G81)-1,999))))+1,1),
MID(TRIM(LEFT($G81,IFERROR(FIND(";",$G81)-1,999))),2,1)
)
)&amp;"-"&amp;TEXT($C81,"yyyy-mm-dd"),
"")</f>
        <v/>
      </c>
      <c r="B81" s="25"/>
      <c r="C81" s="34"/>
      <c r="D81" s="38"/>
      <c r="E81" s="38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16" t="str">
        <f>IF($L81&lt;&gt;"","Purpose "&amp;CHAR(10)&amp;$L81&amp;CHAR(10)&amp;CHAR(10),"")&amp;
IF($M81&lt;&gt;"","Stops (in order) "&amp;CHAR(10)&amp;$M81&amp;CHAR(10)&amp;CHAR(10),"")&amp;
IF($N81&lt;&gt;"","To-Do (hard requirements) "&amp;CHAR(10)&amp;$N81&amp;CHAR(10)&amp;CHAR(10),"")&amp;
IF($O81&lt;&gt;"","Suggested Timeline "&amp;CHAR(10)&amp;$O81&amp;CHAR(10)&amp;CHAR(10),"")&amp;
IF($P81&lt;&gt;"","Guardrails "&amp;CHAR(10)&amp;$P81&amp;CHAR(10)&amp;CHAR(10),"")&amp;
IF($Q81&lt;&gt;"","Completion signals "&amp;CHAR(10)&amp;$Q81,"")</f>
        <v/>
      </c>
      <c r="S81" s="25"/>
      <c r="T81" s="25"/>
      <c r="U81" s="8"/>
      <c r="V81" s="8" t="str">
        <f>_xlfn.SINGLE(IF($B81 = "", "", IF(_xlfn.SINGLE(_xlfn.TEXTJOIN(" | ", TRUE, IF($B81 = "", "Missing Title", ""), IF($C81 = "", "Missing Date", ""), IF($D81 = "", "Missing Start", ""), IF($E81 = "", "Missing End", ""), IF($G81 = "", "Missing Required Attendees", ""), IF($T81 = "", "Missing Status", ""), IF(AND($D81 &lt;&gt; "", $E81 &lt;&gt; "", $D81 &gt;= $E81), "Start&gt;=End", ""), IF(OR($R81 = "", LEN($R81) &lt; 60, ISNUMBER(MATCH(TRIM($R81), StatusList, 0))), "Body overwritten/short", ""))) = "", "OK", _xlfn.TEXTJOIN(" | ", TRUE, IF($B81 = "", "Missing Title", ""), IF($C81 = "", "Missing Date", ""), IF($D81 = "", "Missing Start", ""), IF($E81 = "", "Missing End", ""), IF($G81 = "", "Missing Required Attendees", ""), IF($T81 = "", "Missing Status", ""), IF(AND($D81 &lt;&gt; "", $E81 &lt;&gt; "", $D81 &gt;= $E81), "Start&gt;=End", ""), IF(OR($R81 = "", LEN($R81) &lt; 60, ISNUMBER(MATCH(TRIM($R81), StatusList, 0))), "Body overwritten/short", "")))))</f>
        <v/>
      </c>
    </row>
    <row r="82" spans="1:22" ht="15" customHeight="1">
      <c r="A82" s="12" t="str">
        <f>IF(AND($B82&lt;&gt;"",$C82&lt;&gt;"",$D82&lt;&gt;"",$E82&lt;&gt;"",$G82&lt;&gt;""),
UPPER(
LEFT(TRIM(LEFT($G82,IFERROR(FIND(";",$G82)-1,999))),1)&amp;
IFERROR(
MID(TRIM(LEFT($G82,IFERROR(FIND(";",$G82)-1,999))),
FIND(" ",TRIM(LEFT($G82,IFERROR(FIND(";",$G82)-1,999))))+1,1),
MID(TRIM(LEFT($G82,IFERROR(FIND(";",$G82)-1,999))),2,1)
)
)&amp;"-"&amp;TEXT($C82,"yyyy-mm-dd"),
"")</f>
        <v/>
      </c>
      <c r="B82" s="25"/>
      <c r="C82" s="34"/>
      <c r="D82" s="38"/>
      <c r="E82" s="38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16" t="str">
        <f>IF($L82&lt;&gt;"","Purpose "&amp;CHAR(10)&amp;$L82&amp;CHAR(10)&amp;CHAR(10),"")&amp;
IF($M82&lt;&gt;"","Stops (in order) "&amp;CHAR(10)&amp;$M82&amp;CHAR(10)&amp;CHAR(10),"")&amp;
IF($N82&lt;&gt;"","To-Do (hard requirements) "&amp;CHAR(10)&amp;$N82&amp;CHAR(10)&amp;CHAR(10),"")&amp;
IF($O82&lt;&gt;"","Suggested Timeline "&amp;CHAR(10)&amp;$O82&amp;CHAR(10)&amp;CHAR(10),"")&amp;
IF($P82&lt;&gt;"","Guardrails "&amp;CHAR(10)&amp;$P82&amp;CHAR(10)&amp;CHAR(10),"")&amp;
IF($Q82&lt;&gt;"","Completion signals "&amp;CHAR(10)&amp;$Q82,"")</f>
        <v/>
      </c>
      <c r="S82" s="25"/>
      <c r="T82" s="25"/>
      <c r="U82" s="8"/>
      <c r="V82" s="8" t="str">
        <f>_xlfn.SINGLE(IF($B82 = "", "", IF(_xlfn.SINGLE(_xlfn.TEXTJOIN(" | ", TRUE, IF($B82 = "", "Missing Title", ""), IF($C82 = "", "Missing Date", ""), IF($D82 = "", "Missing Start", ""), IF($E82 = "", "Missing End", ""), IF($G82 = "", "Missing Required Attendees", ""), IF($T82 = "", "Missing Status", ""), IF(AND($D82 &lt;&gt; "", $E82 &lt;&gt; "", $D82 &gt;= $E82), "Start&gt;=End", ""), IF(OR($R82 = "", LEN($R82) &lt; 60, ISNUMBER(MATCH(TRIM($R82), StatusList, 0))), "Body overwritten/short", ""))) = "", "OK", _xlfn.TEXTJOIN(" | ", TRUE, IF($B82 = "", "Missing Title", ""), IF($C82 = "", "Missing Date", ""), IF($D82 = "", "Missing Start", ""), IF($E82 = "", "Missing End", ""), IF($G82 = "", "Missing Required Attendees", ""), IF($T82 = "", "Missing Status", ""), IF(AND($D82 &lt;&gt; "", $E82 &lt;&gt; "", $D82 &gt;= $E82), "Start&gt;=End", ""), IF(OR($R82 = "", LEN($R82) &lt; 60, ISNUMBER(MATCH(TRIM($R82), StatusList, 0))), "Body overwritten/short", "")))))</f>
        <v/>
      </c>
    </row>
    <row r="83" spans="1:22" ht="15" customHeight="1">
      <c r="A83" s="12" t="str">
        <f>IF(AND($B83&lt;&gt;"",$C83&lt;&gt;"",$D83&lt;&gt;"",$E83&lt;&gt;"",$G83&lt;&gt;""),
UPPER(
LEFT(TRIM(LEFT($G83,IFERROR(FIND(";",$G83)-1,999))),1)&amp;
IFERROR(
MID(TRIM(LEFT($G83,IFERROR(FIND(";",$G83)-1,999))),
FIND(" ",TRIM(LEFT($G83,IFERROR(FIND(";",$G83)-1,999))))+1,1),
MID(TRIM(LEFT($G83,IFERROR(FIND(";",$G83)-1,999))),2,1)
)
)&amp;"-"&amp;TEXT($C83,"yyyy-mm-dd"),
"")</f>
        <v/>
      </c>
      <c r="B83" s="25"/>
      <c r="C83" s="34"/>
      <c r="D83" s="38"/>
      <c r="E83" s="38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16" t="str">
        <f>IF($L83&lt;&gt;"","Purpose "&amp;CHAR(10)&amp;$L83&amp;CHAR(10)&amp;CHAR(10),"")&amp;
IF($M83&lt;&gt;"","Stops (in order) "&amp;CHAR(10)&amp;$M83&amp;CHAR(10)&amp;CHAR(10),"")&amp;
IF($N83&lt;&gt;"","To-Do (hard requirements) "&amp;CHAR(10)&amp;$N83&amp;CHAR(10)&amp;CHAR(10),"")&amp;
IF($O83&lt;&gt;"","Suggested Timeline "&amp;CHAR(10)&amp;$O83&amp;CHAR(10)&amp;CHAR(10),"")&amp;
IF($P83&lt;&gt;"","Guardrails "&amp;CHAR(10)&amp;$P83&amp;CHAR(10)&amp;CHAR(10),"")&amp;
IF($Q83&lt;&gt;"","Completion signals "&amp;CHAR(10)&amp;$Q83,"")</f>
        <v/>
      </c>
      <c r="S83" s="25"/>
      <c r="T83" s="25"/>
      <c r="U83" s="8"/>
      <c r="V83" s="8" t="str">
        <f>_xlfn.SINGLE(IF($B83 = "", "", IF(_xlfn.SINGLE(_xlfn.TEXTJOIN(" | ", TRUE, IF($B83 = "", "Missing Title", ""), IF($C83 = "", "Missing Date", ""), IF($D83 = "", "Missing Start", ""), IF($E83 = "", "Missing End", ""), IF($G83 = "", "Missing Required Attendees", ""), IF($T83 = "", "Missing Status", ""), IF(AND($D83 &lt;&gt; "", $E83 &lt;&gt; "", $D83 &gt;= $E83), "Start&gt;=End", ""), IF(OR($R83 = "", LEN($R83) &lt; 60, ISNUMBER(MATCH(TRIM($R83), StatusList, 0))), "Body overwritten/short", ""))) = "", "OK", _xlfn.TEXTJOIN(" | ", TRUE, IF($B83 = "", "Missing Title", ""), IF($C83 = "", "Missing Date", ""), IF($D83 = "", "Missing Start", ""), IF($E83 = "", "Missing End", ""), IF($G83 = "", "Missing Required Attendees", ""), IF($T83 = "", "Missing Status", ""), IF(AND($D83 &lt;&gt; "", $E83 &lt;&gt; "", $D83 &gt;= $E83), "Start&gt;=End", ""), IF(OR($R83 = "", LEN($R83) &lt; 60, ISNUMBER(MATCH(TRIM($R83), StatusList, 0))), "Body overwritten/short", "")))))</f>
        <v/>
      </c>
    </row>
    <row r="84" spans="1:22" ht="15" customHeight="1">
      <c r="A84" s="12" t="str">
        <f>IF(AND($B84&lt;&gt;"",$C84&lt;&gt;"",$D84&lt;&gt;"",$E84&lt;&gt;"",$G84&lt;&gt;""),
UPPER(
LEFT(TRIM(LEFT($G84,IFERROR(FIND(";",$G84)-1,999))),1)&amp;
IFERROR(
MID(TRIM(LEFT($G84,IFERROR(FIND(";",$G84)-1,999))),
FIND(" ",TRIM(LEFT($G84,IFERROR(FIND(";",$G84)-1,999))))+1,1),
MID(TRIM(LEFT($G84,IFERROR(FIND(";",$G84)-1,999))),2,1)
)
)&amp;"-"&amp;TEXT($C84,"yyyy-mm-dd"),
"")</f>
        <v/>
      </c>
      <c r="B84" s="25"/>
      <c r="C84" s="34"/>
      <c r="D84" s="38"/>
      <c r="E84" s="38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16" t="str">
        <f>IF($L84&lt;&gt;"","Purpose "&amp;CHAR(10)&amp;$L84&amp;CHAR(10)&amp;CHAR(10),"")&amp;
IF($M84&lt;&gt;"","Stops (in order) "&amp;CHAR(10)&amp;$M84&amp;CHAR(10)&amp;CHAR(10),"")&amp;
IF($N84&lt;&gt;"","To-Do (hard requirements) "&amp;CHAR(10)&amp;$N84&amp;CHAR(10)&amp;CHAR(10),"")&amp;
IF($O84&lt;&gt;"","Suggested Timeline "&amp;CHAR(10)&amp;$O84&amp;CHAR(10)&amp;CHAR(10),"")&amp;
IF($P84&lt;&gt;"","Guardrails "&amp;CHAR(10)&amp;$P84&amp;CHAR(10)&amp;CHAR(10),"")&amp;
IF($Q84&lt;&gt;"","Completion signals "&amp;CHAR(10)&amp;$Q84,"")</f>
        <v/>
      </c>
      <c r="S84" s="25"/>
      <c r="T84" s="25"/>
      <c r="U84" s="8"/>
      <c r="V84" s="8" t="str">
        <f>_xlfn.SINGLE(IF($B84 = "", "", IF(_xlfn.SINGLE(_xlfn.TEXTJOIN(" | ", TRUE, IF($B84 = "", "Missing Title", ""), IF($C84 = "", "Missing Date", ""), IF($D84 = "", "Missing Start", ""), IF($E84 = "", "Missing End", ""), IF($G84 = "", "Missing Required Attendees", ""), IF($T84 = "", "Missing Status", ""), IF(AND($D84 &lt;&gt; "", $E84 &lt;&gt; "", $D84 &gt;= $E84), "Start&gt;=End", ""), IF(OR($R84 = "", LEN($R84) &lt; 60, ISNUMBER(MATCH(TRIM($R84), StatusList, 0))), "Body overwritten/short", ""))) = "", "OK", _xlfn.TEXTJOIN(" | ", TRUE, IF($B84 = "", "Missing Title", ""), IF($C84 = "", "Missing Date", ""), IF($D84 = "", "Missing Start", ""), IF($E84 = "", "Missing End", ""), IF($G84 = "", "Missing Required Attendees", ""), IF($T84 = "", "Missing Status", ""), IF(AND($D84 &lt;&gt; "", $E84 &lt;&gt; "", $D84 &gt;= $E84), "Start&gt;=End", ""), IF(OR($R84 = "", LEN($R84) &lt; 60, ISNUMBER(MATCH(TRIM($R84), StatusList, 0))), "Body overwritten/short", "")))))</f>
        <v/>
      </c>
    </row>
    <row r="85" spans="1:22" ht="15" customHeight="1">
      <c r="A85" s="12" t="str">
        <f>IF(AND($B85&lt;&gt;"",$C85&lt;&gt;"",$D85&lt;&gt;"",$E85&lt;&gt;"",$G85&lt;&gt;""),
UPPER(
LEFT(TRIM(LEFT($G85,IFERROR(FIND(";",$G85)-1,999))),1)&amp;
IFERROR(
MID(TRIM(LEFT($G85,IFERROR(FIND(";",$G85)-1,999))),
FIND(" ",TRIM(LEFT($G85,IFERROR(FIND(";",$G85)-1,999))))+1,1),
MID(TRIM(LEFT($G85,IFERROR(FIND(";",$G85)-1,999))),2,1)
)
)&amp;"-"&amp;TEXT($C85,"yyyy-mm-dd"),
"")</f>
        <v/>
      </c>
      <c r="B85" s="25"/>
      <c r="C85" s="34"/>
      <c r="D85" s="38"/>
      <c r="E85" s="38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16" t="str">
        <f>IF($L85&lt;&gt;"","Purpose "&amp;CHAR(10)&amp;$L85&amp;CHAR(10)&amp;CHAR(10),"")&amp;
IF($M85&lt;&gt;"","Stops (in order) "&amp;CHAR(10)&amp;$M85&amp;CHAR(10)&amp;CHAR(10),"")&amp;
IF($N85&lt;&gt;"","To-Do (hard requirements) "&amp;CHAR(10)&amp;$N85&amp;CHAR(10)&amp;CHAR(10),"")&amp;
IF($O85&lt;&gt;"","Suggested Timeline "&amp;CHAR(10)&amp;$O85&amp;CHAR(10)&amp;CHAR(10),"")&amp;
IF($P85&lt;&gt;"","Guardrails "&amp;CHAR(10)&amp;$P85&amp;CHAR(10)&amp;CHAR(10),"")&amp;
IF($Q85&lt;&gt;"","Completion signals "&amp;CHAR(10)&amp;$Q85,"")</f>
        <v/>
      </c>
      <c r="S85" s="25"/>
      <c r="T85" s="25"/>
      <c r="U85" s="8"/>
      <c r="V85" s="8" t="str">
        <f>_xlfn.SINGLE(IF($B85 = "", "", IF(_xlfn.SINGLE(_xlfn.TEXTJOIN(" | ", TRUE, IF($B85 = "", "Missing Title", ""), IF($C85 = "", "Missing Date", ""), IF($D85 = "", "Missing Start", ""), IF($E85 = "", "Missing End", ""), IF($G85 = "", "Missing Required Attendees", ""), IF($T85 = "", "Missing Status", ""), IF(AND($D85 &lt;&gt; "", $E85 &lt;&gt; "", $D85 &gt;= $E85), "Start&gt;=End", ""), IF(OR($R85 = "", LEN($R85) &lt; 60, ISNUMBER(MATCH(TRIM($R85), StatusList, 0))), "Body overwritten/short", ""))) = "", "OK", _xlfn.TEXTJOIN(" | ", TRUE, IF($B85 = "", "Missing Title", ""), IF($C85 = "", "Missing Date", ""), IF($D85 = "", "Missing Start", ""), IF($E85 = "", "Missing End", ""), IF($G85 = "", "Missing Required Attendees", ""), IF($T85 = "", "Missing Status", ""), IF(AND($D85 &lt;&gt; "", $E85 &lt;&gt; "", $D85 &gt;= $E85), "Start&gt;=End", ""), IF(OR($R85 = "", LEN($R85) &lt; 60, ISNUMBER(MATCH(TRIM($R85), StatusList, 0))), "Body overwritten/short", "")))))</f>
        <v/>
      </c>
    </row>
    <row r="86" spans="1:22" ht="15" customHeight="1">
      <c r="A86" s="12" t="str">
        <f>IF(AND($B86&lt;&gt;"",$C86&lt;&gt;"",$D86&lt;&gt;"",$E86&lt;&gt;"",$G86&lt;&gt;""),
UPPER(
LEFT(TRIM(LEFT($G86,IFERROR(FIND(";",$G86)-1,999))),1)&amp;
IFERROR(
MID(TRIM(LEFT($G86,IFERROR(FIND(";",$G86)-1,999))),
FIND(" ",TRIM(LEFT($G86,IFERROR(FIND(";",$G86)-1,999))))+1,1),
MID(TRIM(LEFT($G86,IFERROR(FIND(";",$G86)-1,999))),2,1)
)
)&amp;"-"&amp;TEXT($C86,"yyyy-mm-dd"),
"")</f>
        <v/>
      </c>
      <c r="B86" s="25"/>
      <c r="C86" s="34"/>
      <c r="D86" s="38"/>
      <c r="E86" s="38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16" t="str">
        <f>IF($L86&lt;&gt;"","Purpose "&amp;CHAR(10)&amp;$L86&amp;CHAR(10)&amp;CHAR(10),"")&amp;
IF($M86&lt;&gt;"","Stops (in order) "&amp;CHAR(10)&amp;$M86&amp;CHAR(10)&amp;CHAR(10),"")&amp;
IF($N86&lt;&gt;"","To-Do (hard requirements) "&amp;CHAR(10)&amp;$N86&amp;CHAR(10)&amp;CHAR(10),"")&amp;
IF($O86&lt;&gt;"","Suggested Timeline "&amp;CHAR(10)&amp;$O86&amp;CHAR(10)&amp;CHAR(10),"")&amp;
IF($P86&lt;&gt;"","Guardrails "&amp;CHAR(10)&amp;$P86&amp;CHAR(10)&amp;CHAR(10),"")&amp;
IF($Q86&lt;&gt;"","Completion signals "&amp;CHAR(10)&amp;$Q86,"")</f>
        <v/>
      </c>
      <c r="S86" s="25"/>
      <c r="T86" s="25"/>
      <c r="U86" s="8"/>
      <c r="V86" s="8" t="str">
        <f>_xlfn.SINGLE(IF($B86 = "", "", IF(_xlfn.SINGLE(_xlfn.TEXTJOIN(" | ", TRUE, IF($B86 = "", "Missing Title", ""), IF($C86 = "", "Missing Date", ""), IF($D86 = "", "Missing Start", ""), IF($E86 = "", "Missing End", ""), IF($G86 = "", "Missing Required Attendees", ""), IF($T86 = "", "Missing Status", ""), IF(AND($D86 &lt;&gt; "", $E86 &lt;&gt; "", $D86 &gt;= $E86), "Start&gt;=End", ""), IF(OR($R86 = "", LEN($R86) &lt; 60, ISNUMBER(MATCH(TRIM($R86), StatusList, 0))), "Body overwritten/short", ""))) = "", "OK", _xlfn.TEXTJOIN(" | ", TRUE, IF($B86 = "", "Missing Title", ""), IF($C86 = "", "Missing Date", ""), IF($D86 = "", "Missing Start", ""), IF($E86 = "", "Missing End", ""), IF($G86 = "", "Missing Required Attendees", ""), IF($T86 = "", "Missing Status", ""), IF(AND($D86 &lt;&gt; "", $E86 &lt;&gt; "", $D86 &gt;= $E86), "Start&gt;=End", ""), IF(OR($R86 = "", LEN($R86) &lt; 60, ISNUMBER(MATCH(TRIM($R86), StatusList, 0))), "Body overwritten/short", "")))))</f>
        <v/>
      </c>
    </row>
    <row r="87" spans="1:22" ht="15" customHeight="1">
      <c r="A87" s="12" t="str">
        <f>IF(AND($B87&lt;&gt;"",$C87&lt;&gt;"",$D87&lt;&gt;"",$E87&lt;&gt;"",$G87&lt;&gt;""),
UPPER(
LEFT(TRIM(LEFT($G87,IFERROR(FIND(";",$G87)-1,999))),1)&amp;
IFERROR(
MID(TRIM(LEFT($G87,IFERROR(FIND(";",$G87)-1,999))),
FIND(" ",TRIM(LEFT($G87,IFERROR(FIND(";",$G87)-1,999))))+1,1),
MID(TRIM(LEFT($G87,IFERROR(FIND(";",$G87)-1,999))),2,1)
)
)&amp;"-"&amp;TEXT($C87,"yyyy-mm-dd"),
"")</f>
        <v/>
      </c>
      <c r="B87" s="25"/>
      <c r="C87" s="34"/>
      <c r="D87" s="38"/>
      <c r="E87" s="38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16" t="str">
        <f>IF($L87&lt;&gt;"","Purpose "&amp;CHAR(10)&amp;$L87&amp;CHAR(10)&amp;CHAR(10),"")&amp;
IF($M87&lt;&gt;"","Stops (in order) "&amp;CHAR(10)&amp;$M87&amp;CHAR(10)&amp;CHAR(10),"")&amp;
IF($N87&lt;&gt;"","To-Do (hard requirements) "&amp;CHAR(10)&amp;$N87&amp;CHAR(10)&amp;CHAR(10),"")&amp;
IF($O87&lt;&gt;"","Suggested Timeline "&amp;CHAR(10)&amp;$O87&amp;CHAR(10)&amp;CHAR(10),"")&amp;
IF($P87&lt;&gt;"","Guardrails "&amp;CHAR(10)&amp;$P87&amp;CHAR(10)&amp;CHAR(10),"")&amp;
IF($Q87&lt;&gt;"","Completion signals "&amp;CHAR(10)&amp;$Q87,"")</f>
        <v/>
      </c>
      <c r="S87" s="25"/>
      <c r="T87" s="25"/>
      <c r="U87" s="8"/>
      <c r="V87" s="8" t="str">
        <f>_xlfn.SINGLE(IF($B87 = "", "", IF(_xlfn.SINGLE(_xlfn.TEXTJOIN(" | ", TRUE, IF($B87 = "", "Missing Title", ""), IF($C87 = "", "Missing Date", ""), IF($D87 = "", "Missing Start", ""), IF($E87 = "", "Missing End", ""), IF($G87 = "", "Missing Required Attendees", ""), IF($T87 = "", "Missing Status", ""), IF(AND($D87 &lt;&gt; "", $E87 &lt;&gt; "", $D87 &gt;= $E87), "Start&gt;=End", ""), IF(OR($R87 = "", LEN($R87) &lt; 60, ISNUMBER(MATCH(TRIM($R87), StatusList, 0))), "Body overwritten/short", ""))) = "", "OK", _xlfn.TEXTJOIN(" | ", TRUE, IF($B87 = "", "Missing Title", ""), IF($C87 = "", "Missing Date", ""), IF($D87 = "", "Missing Start", ""), IF($E87 = "", "Missing End", ""), IF($G87 = "", "Missing Required Attendees", ""), IF($T87 = "", "Missing Status", ""), IF(AND($D87 &lt;&gt; "", $E87 &lt;&gt; "", $D87 &gt;= $E87), "Start&gt;=End", ""), IF(OR($R87 = "", LEN($R87) &lt; 60, ISNUMBER(MATCH(TRIM($R87), StatusList, 0))), "Body overwritten/short", "")))))</f>
        <v/>
      </c>
    </row>
    <row r="88" spans="1:22" ht="15" customHeight="1">
      <c r="A88" s="12" t="str">
        <f>IF(AND($B88&lt;&gt;"",$C88&lt;&gt;"",$D88&lt;&gt;"",$E88&lt;&gt;"",$G88&lt;&gt;""),
UPPER(
LEFT(TRIM(LEFT($G88,IFERROR(FIND(";",$G88)-1,999))),1)&amp;
IFERROR(
MID(TRIM(LEFT($G88,IFERROR(FIND(";",$G88)-1,999))),
FIND(" ",TRIM(LEFT($G88,IFERROR(FIND(";",$G88)-1,999))))+1,1),
MID(TRIM(LEFT($G88,IFERROR(FIND(";",$G88)-1,999))),2,1)
)
)&amp;"-"&amp;TEXT($C88,"yyyy-mm-dd"),
"")</f>
        <v/>
      </c>
      <c r="B88" s="25"/>
      <c r="C88" s="34"/>
      <c r="D88" s="38"/>
      <c r="E88" s="38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16" t="str">
        <f>IF($L88&lt;&gt;"","Purpose "&amp;CHAR(10)&amp;$L88&amp;CHAR(10)&amp;CHAR(10),"")&amp;
IF($M88&lt;&gt;"","Stops (in order) "&amp;CHAR(10)&amp;$M88&amp;CHAR(10)&amp;CHAR(10),"")&amp;
IF($N88&lt;&gt;"","To-Do (hard requirements) "&amp;CHAR(10)&amp;$N88&amp;CHAR(10)&amp;CHAR(10),"")&amp;
IF($O88&lt;&gt;"","Suggested Timeline "&amp;CHAR(10)&amp;$O88&amp;CHAR(10)&amp;CHAR(10),"")&amp;
IF($P88&lt;&gt;"","Guardrails "&amp;CHAR(10)&amp;$P88&amp;CHAR(10)&amp;CHAR(10),"")&amp;
IF($Q88&lt;&gt;"","Completion signals "&amp;CHAR(10)&amp;$Q88,"")</f>
        <v/>
      </c>
      <c r="S88" s="25"/>
      <c r="T88" s="25"/>
      <c r="U88" s="8"/>
      <c r="V88" s="8" t="str">
        <f>_xlfn.SINGLE(IF($B88 = "", "", IF(_xlfn.SINGLE(_xlfn.TEXTJOIN(" | ", TRUE, IF($B88 = "", "Missing Title", ""), IF($C88 = "", "Missing Date", ""), IF($D88 = "", "Missing Start", ""), IF($E88 = "", "Missing End", ""), IF($G88 = "", "Missing Required Attendees", ""), IF($T88 = "", "Missing Status", ""), IF(AND($D88 &lt;&gt; "", $E88 &lt;&gt; "", $D88 &gt;= $E88), "Start&gt;=End", ""), IF(OR($R88 = "", LEN($R88) &lt; 60, ISNUMBER(MATCH(TRIM($R88), StatusList, 0))), "Body overwritten/short", ""))) = "", "OK", _xlfn.TEXTJOIN(" | ", TRUE, IF($B88 = "", "Missing Title", ""), IF($C88 = "", "Missing Date", ""), IF($D88 = "", "Missing Start", ""), IF($E88 = "", "Missing End", ""), IF($G88 = "", "Missing Required Attendees", ""), IF($T88 = "", "Missing Status", ""), IF(AND($D88 &lt;&gt; "", $E88 &lt;&gt; "", $D88 &gt;= $E88), "Start&gt;=End", ""), IF(OR($R88 = "", LEN($R88) &lt; 60, ISNUMBER(MATCH(TRIM($R88), StatusList, 0))), "Body overwritten/short", "")))))</f>
        <v/>
      </c>
    </row>
    <row r="89" spans="1:22" ht="15" customHeight="1">
      <c r="A89" s="12" t="str">
        <f>IF(AND($B89&lt;&gt;"",$C89&lt;&gt;"",$D89&lt;&gt;"",$E89&lt;&gt;"",$G89&lt;&gt;""),
UPPER(
LEFT(TRIM(LEFT($G89,IFERROR(FIND(";",$G89)-1,999))),1)&amp;
IFERROR(
MID(TRIM(LEFT($G89,IFERROR(FIND(";",$G89)-1,999))),
FIND(" ",TRIM(LEFT($G89,IFERROR(FIND(";",$G89)-1,999))))+1,1),
MID(TRIM(LEFT($G89,IFERROR(FIND(";",$G89)-1,999))),2,1)
)
)&amp;"-"&amp;TEXT($C89,"yyyy-mm-dd"),
"")</f>
        <v/>
      </c>
      <c r="B89" s="25"/>
      <c r="C89" s="34"/>
      <c r="D89" s="38"/>
      <c r="E89" s="38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16" t="str">
        <f>IF($L89&lt;&gt;"","Purpose "&amp;CHAR(10)&amp;$L89&amp;CHAR(10)&amp;CHAR(10),"")&amp;
IF($M89&lt;&gt;"","Stops (in order) "&amp;CHAR(10)&amp;$M89&amp;CHAR(10)&amp;CHAR(10),"")&amp;
IF($N89&lt;&gt;"","To-Do (hard requirements) "&amp;CHAR(10)&amp;$N89&amp;CHAR(10)&amp;CHAR(10),"")&amp;
IF($O89&lt;&gt;"","Suggested Timeline "&amp;CHAR(10)&amp;$O89&amp;CHAR(10)&amp;CHAR(10),"")&amp;
IF($P89&lt;&gt;"","Guardrails "&amp;CHAR(10)&amp;$P89&amp;CHAR(10)&amp;CHAR(10),"")&amp;
IF($Q89&lt;&gt;"","Completion signals "&amp;CHAR(10)&amp;$Q89,"")</f>
        <v/>
      </c>
      <c r="S89" s="25"/>
      <c r="T89" s="25"/>
      <c r="U89" s="8"/>
      <c r="V89" s="8" t="str">
        <f>_xlfn.SINGLE(IF($B89 = "", "", IF(_xlfn.SINGLE(_xlfn.TEXTJOIN(" | ", TRUE, IF($B89 = "", "Missing Title", ""), IF($C89 = "", "Missing Date", ""), IF($D89 = "", "Missing Start", ""), IF($E89 = "", "Missing End", ""), IF($G89 = "", "Missing Required Attendees", ""), IF($T89 = "", "Missing Status", ""), IF(AND($D89 &lt;&gt; "", $E89 &lt;&gt; "", $D89 &gt;= $E89), "Start&gt;=End", ""), IF(OR($R89 = "", LEN($R89) &lt; 60, ISNUMBER(MATCH(TRIM($R89), StatusList, 0))), "Body overwritten/short", ""))) = "", "OK", _xlfn.TEXTJOIN(" | ", TRUE, IF($B89 = "", "Missing Title", ""), IF($C89 = "", "Missing Date", ""), IF($D89 = "", "Missing Start", ""), IF($E89 = "", "Missing End", ""), IF($G89 = "", "Missing Required Attendees", ""), IF($T89 = "", "Missing Status", ""), IF(AND($D89 &lt;&gt; "", $E89 &lt;&gt; "", $D89 &gt;= $E89), "Start&gt;=End", ""), IF(OR($R89 = "", LEN($R89) &lt; 60, ISNUMBER(MATCH(TRIM($R89), StatusList, 0))), "Body overwritten/short", "")))))</f>
        <v/>
      </c>
    </row>
    <row r="90" spans="1:22" ht="15" customHeight="1">
      <c r="A90" s="12" t="str">
        <f>IF(AND($B90&lt;&gt;"",$C90&lt;&gt;"",$D90&lt;&gt;"",$E90&lt;&gt;"",$G90&lt;&gt;""),
UPPER(
LEFT(TRIM(LEFT($G90,IFERROR(FIND(";",$G90)-1,999))),1)&amp;
IFERROR(
MID(TRIM(LEFT($G90,IFERROR(FIND(";",$G90)-1,999))),
FIND(" ",TRIM(LEFT($G90,IFERROR(FIND(";",$G90)-1,999))))+1,1),
MID(TRIM(LEFT($G90,IFERROR(FIND(";",$G90)-1,999))),2,1)
)
)&amp;"-"&amp;TEXT($C90,"yyyy-mm-dd"),
"")</f>
        <v/>
      </c>
      <c r="B90" s="25"/>
      <c r="C90" s="34"/>
      <c r="D90" s="38"/>
      <c r="E90" s="38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16" t="str">
        <f>IF($L90&lt;&gt;"","Purpose "&amp;CHAR(10)&amp;$L90&amp;CHAR(10)&amp;CHAR(10),"")&amp;
IF($M90&lt;&gt;"","Stops (in order) "&amp;CHAR(10)&amp;$M90&amp;CHAR(10)&amp;CHAR(10),"")&amp;
IF($N90&lt;&gt;"","To-Do (hard requirements) "&amp;CHAR(10)&amp;$N90&amp;CHAR(10)&amp;CHAR(10),"")&amp;
IF($O90&lt;&gt;"","Suggested Timeline "&amp;CHAR(10)&amp;$O90&amp;CHAR(10)&amp;CHAR(10),"")&amp;
IF($P90&lt;&gt;"","Guardrails "&amp;CHAR(10)&amp;$P90&amp;CHAR(10)&amp;CHAR(10),"")&amp;
IF($Q90&lt;&gt;"","Completion signals "&amp;CHAR(10)&amp;$Q90,"")</f>
        <v/>
      </c>
      <c r="S90" s="25"/>
      <c r="T90" s="25"/>
      <c r="U90" s="8"/>
      <c r="V90" s="8" t="str">
        <f>_xlfn.SINGLE(IF($B90 = "", "", IF(_xlfn.SINGLE(_xlfn.TEXTJOIN(" | ", TRUE, IF($B90 = "", "Missing Title", ""), IF($C90 = "", "Missing Date", ""), IF($D90 = "", "Missing Start", ""), IF($E90 = "", "Missing End", ""), IF($G90 = "", "Missing Required Attendees", ""), IF($T90 = "", "Missing Status", ""), IF(AND($D90 &lt;&gt; "", $E90 &lt;&gt; "", $D90 &gt;= $E90), "Start&gt;=End", ""), IF(OR($R90 = "", LEN($R90) &lt; 60, ISNUMBER(MATCH(TRIM($R90), StatusList, 0))), "Body overwritten/short", ""))) = "", "OK", _xlfn.TEXTJOIN(" | ", TRUE, IF($B90 = "", "Missing Title", ""), IF($C90 = "", "Missing Date", ""), IF($D90 = "", "Missing Start", ""), IF($E90 = "", "Missing End", ""), IF($G90 = "", "Missing Required Attendees", ""), IF($T90 = "", "Missing Status", ""), IF(AND($D90 &lt;&gt; "", $E90 &lt;&gt; "", $D90 &gt;= $E90), "Start&gt;=End", ""), IF(OR($R90 = "", LEN($R90) &lt; 60, ISNUMBER(MATCH(TRIM($R90), StatusList, 0))), "Body overwritten/short", "")))))</f>
        <v/>
      </c>
    </row>
    <row r="91" spans="1:22" ht="15" customHeight="1">
      <c r="A91" s="12" t="str">
        <f>IF(AND($B91&lt;&gt;"",$C91&lt;&gt;"",$D91&lt;&gt;"",$E91&lt;&gt;"",$G91&lt;&gt;""),
UPPER(
LEFT(TRIM(LEFT($G91,IFERROR(FIND(";",$G91)-1,999))),1)&amp;
IFERROR(
MID(TRIM(LEFT($G91,IFERROR(FIND(";",$G91)-1,999))),
FIND(" ",TRIM(LEFT($G91,IFERROR(FIND(";",$G91)-1,999))))+1,1),
MID(TRIM(LEFT($G91,IFERROR(FIND(";",$G91)-1,999))),2,1)
)
)&amp;"-"&amp;TEXT($C91,"yyyy-mm-dd"),
"")</f>
        <v/>
      </c>
      <c r="B91" s="25"/>
      <c r="C91" s="34"/>
      <c r="D91" s="38"/>
      <c r="E91" s="38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16" t="str">
        <f>IF($L91&lt;&gt;"","Purpose "&amp;CHAR(10)&amp;$L91&amp;CHAR(10)&amp;CHAR(10),"")&amp;
IF($M91&lt;&gt;"","Stops (in order) "&amp;CHAR(10)&amp;$M91&amp;CHAR(10)&amp;CHAR(10),"")&amp;
IF($N91&lt;&gt;"","To-Do (hard requirements) "&amp;CHAR(10)&amp;$N91&amp;CHAR(10)&amp;CHAR(10),"")&amp;
IF($O91&lt;&gt;"","Suggested Timeline "&amp;CHAR(10)&amp;$O91&amp;CHAR(10)&amp;CHAR(10),"")&amp;
IF($P91&lt;&gt;"","Guardrails "&amp;CHAR(10)&amp;$P91&amp;CHAR(10)&amp;CHAR(10),"")&amp;
IF($Q91&lt;&gt;"","Completion signals "&amp;CHAR(10)&amp;$Q91,"")</f>
        <v/>
      </c>
      <c r="S91" s="25"/>
      <c r="T91" s="25"/>
      <c r="U91" s="8"/>
      <c r="V91" s="8" t="str">
        <f>_xlfn.SINGLE(IF($B91 = "", "", IF(_xlfn.SINGLE(_xlfn.TEXTJOIN(" | ", TRUE, IF($B91 = "", "Missing Title", ""), IF($C91 = "", "Missing Date", ""), IF($D91 = "", "Missing Start", ""), IF($E91 = "", "Missing End", ""), IF($G91 = "", "Missing Required Attendees", ""), IF($T91 = "", "Missing Status", ""), IF(AND($D91 &lt;&gt; "", $E91 &lt;&gt; "", $D91 &gt;= $E91), "Start&gt;=End", ""), IF(OR($R91 = "", LEN($R91) &lt; 60, ISNUMBER(MATCH(TRIM($R91), StatusList, 0))), "Body overwritten/short", ""))) = "", "OK", _xlfn.TEXTJOIN(" | ", TRUE, IF($B91 = "", "Missing Title", ""), IF($C91 = "", "Missing Date", ""), IF($D91 = "", "Missing Start", ""), IF($E91 = "", "Missing End", ""), IF($G91 = "", "Missing Required Attendees", ""), IF($T91 = "", "Missing Status", ""), IF(AND($D91 &lt;&gt; "", $E91 &lt;&gt; "", $D91 &gt;= $E91), "Start&gt;=End", ""), IF(OR($R91 = "", LEN($R91) &lt; 60, ISNUMBER(MATCH(TRIM($R91), StatusList, 0))), "Body overwritten/short", "")))))</f>
        <v/>
      </c>
    </row>
    <row r="92" spans="1:22" ht="15" customHeight="1">
      <c r="A92" s="12" t="str">
        <f>IF(AND($B92&lt;&gt;"",$C92&lt;&gt;"",$D92&lt;&gt;"",$E92&lt;&gt;"",$G92&lt;&gt;""),
UPPER(
LEFT(TRIM(LEFT($G92,IFERROR(FIND(";",$G92)-1,999))),1)&amp;
IFERROR(
MID(TRIM(LEFT($G92,IFERROR(FIND(";",$G92)-1,999))),
FIND(" ",TRIM(LEFT($G92,IFERROR(FIND(";",$G92)-1,999))))+1,1),
MID(TRIM(LEFT($G92,IFERROR(FIND(";",$G92)-1,999))),2,1)
)
)&amp;"-"&amp;TEXT($C92,"yyyy-mm-dd"),
"")</f>
        <v/>
      </c>
      <c r="B92" s="25"/>
      <c r="C92" s="34"/>
      <c r="D92" s="38"/>
      <c r="E92" s="38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16" t="str">
        <f>IF($L92&lt;&gt;"","Purpose "&amp;CHAR(10)&amp;$L92&amp;CHAR(10)&amp;CHAR(10),"")&amp;
IF($M92&lt;&gt;"","Stops (in order) "&amp;CHAR(10)&amp;$M92&amp;CHAR(10)&amp;CHAR(10),"")&amp;
IF($N92&lt;&gt;"","To-Do (hard requirements) "&amp;CHAR(10)&amp;$N92&amp;CHAR(10)&amp;CHAR(10),"")&amp;
IF($O92&lt;&gt;"","Suggested Timeline "&amp;CHAR(10)&amp;$O92&amp;CHAR(10)&amp;CHAR(10),"")&amp;
IF($P92&lt;&gt;"","Guardrails "&amp;CHAR(10)&amp;$P92&amp;CHAR(10)&amp;CHAR(10),"")&amp;
IF($Q92&lt;&gt;"","Completion signals "&amp;CHAR(10)&amp;$Q92,"")</f>
        <v/>
      </c>
      <c r="S92" s="25"/>
      <c r="T92" s="25"/>
      <c r="U92" s="8"/>
      <c r="V92" s="8" t="str">
        <f>_xlfn.SINGLE(IF($B92 = "", "", IF(_xlfn.SINGLE(_xlfn.TEXTJOIN(" | ", TRUE, IF($B92 = "", "Missing Title", ""), IF($C92 = "", "Missing Date", ""), IF($D92 = "", "Missing Start", ""), IF($E92 = "", "Missing End", ""), IF($G92 = "", "Missing Required Attendees", ""), IF($T92 = "", "Missing Status", ""), IF(AND($D92 &lt;&gt; "", $E92 &lt;&gt; "", $D92 &gt;= $E92), "Start&gt;=End", ""), IF(OR($R92 = "", LEN($R92) &lt; 60, ISNUMBER(MATCH(TRIM($R92), StatusList, 0))), "Body overwritten/short", ""))) = "", "OK", _xlfn.TEXTJOIN(" | ", TRUE, IF($B92 = "", "Missing Title", ""), IF($C92 = "", "Missing Date", ""), IF($D92 = "", "Missing Start", ""), IF($E92 = "", "Missing End", ""), IF($G92 = "", "Missing Required Attendees", ""), IF($T92 = "", "Missing Status", ""), IF(AND($D92 &lt;&gt; "", $E92 &lt;&gt; "", $D92 &gt;= $E92), "Start&gt;=End", ""), IF(OR($R92 = "", LEN($R92) &lt; 60, ISNUMBER(MATCH(TRIM($R92), StatusList, 0))), "Body overwritten/short", "")))))</f>
        <v/>
      </c>
    </row>
    <row r="93" spans="1:22" ht="15" customHeight="1">
      <c r="A93" s="12" t="str">
        <f>IF(AND($B93&lt;&gt;"",$C93&lt;&gt;"",$D93&lt;&gt;"",$E93&lt;&gt;"",$G93&lt;&gt;""),
UPPER(
LEFT(TRIM(LEFT($G93,IFERROR(FIND(";",$G93)-1,999))),1)&amp;
IFERROR(
MID(TRIM(LEFT($G93,IFERROR(FIND(";",$G93)-1,999))),
FIND(" ",TRIM(LEFT($G93,IFERROR(FIND(";",$G93)-1,999))))+1,1),
MID(TRIM(LEFT($G93,IFERROR(FIND(";",$G93)-1,999))),2,1)
)
)&amp;"-"&amp;TEXT($C93,"yyyy-mm-dd"),
"")</f>
        <v/>
      </c>
      <c r="B93" s="25"/>
      <c r="C93" s="34"/>
      <c r="D93" s="38"/>
      <c r="E93" s="38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16" t="str">
        <f>IF($L93&lt;&gt;"","Purpose "&amp;CHAR(10)&amp;$L93&amp;CHAR(10)&amp;CHAR(10),"")&amp;
IF($M93&lt;&gt;"","Stops (in order) "&amp;CHAR(10)&amp;$M93&amp;CHAR(10)&amp;CHAR(10),"")&amp;
IF($N93&lt;&gt;"","To-Do (hard requirements) "&amp;CHAR(10)&amp;$N93&amp;CHAR(10)&amp;CHAR(10),"")&amp;
IF($O93&lt;&gt;"","Suggested Timeline "&amp;CHAR(10)&amp;$O93&amp;CHAR(10)&amp;CHAR(10),"")&amp;
IF($P93&lt;&gt;"","Guardrails "&amp;CHAR(10)&amp;$P93&amp;CHAR(10)&amp;CHAR(10),"")&amp;
IF($Q93&lt;&gt;"","Completion signals "&amp;CHAR(10)&amp;$Q93,"")</f>
        <v/>
      </c>
      <c r="S93" s="25"/>
      <c r="T93" s="25"/>
      <c r="U93" s="8"/>
      <c r="V93" s="8" t="str">
        <f>_xlfn.SINGLE(IF($B93 = "", "", IF(_xlfn.SINGLE(_xlfn.TEXTJOIN(" | ", TRUE, IF($B93 = "", "Missing Title", ""), IF($C93 = "", "Missing Date", ""), IF($D93 = "", "Missing Start", ""), IF($E93 = "", "Missing End", ""), IF($G93 = "", "Missing Required Attendees", ""), IF($T93 = "", "Missing Status", ""), IF(AND($D93 &lt;&gt; "", $E93 &lt;&gt; "", $D93 &gt;= $E93), "Start&gt;=End", ""), IF(OR($R93 = "", LEN($R93) &lt; 60, ISNUMBER(MATCH(TRIM($R93), StatusList, 0))), "Body overwritten/short", ""))) = "", "OK", _xlfn.TEXTJOIN(" | ", TRUE, IF($B93 = "", "Missing Title", ""), IF($C93 = "", "Missing Date", ""), IF($D93 = "", "Missing Start", ""), IF($E93 = "", "Missing End", ""), IF($G93 = "", "Missing Required Attendees", ""), IF($T93 = "", "Missing Status", ""), IF(AND($D93 &lt;&gt; "", $E93 &lt;&gt; "", $D93 &gt;= $E93), "Start&gt;=End", ""), IF(OR($R93 = "", LEN($R93) &lt; 60, ISNUMBER(MATCH(TRIM($R93), StatusList, 0))), "Body overwritten/short", "")))))</f>
        <v/>
      </c>
    </row>
    <row r="94" spans="1:22" ht="15" customHeight="1">
      <c r="A94" s="12" t="str">
        <f>IF(AND($B94&lt;&gt;"",$C94&lt;&gt;"",$D94&lt;&gt;"",$E94&lt;&gt;"",$G94&lt;&gt;""),
UPPER(
LEFT(TRIM(LEFT($G94,IFERROR(FIND(";",$G94)-1,999))),1)&amp;
IFERROR(
MID(TRIM(LEFT($G94,IFERROR(FIND(";",$G94)-1,999))),
FIND(" ",TRIM(LEFT($G94,IFERROR(FIND(";",$G94)-1,999))))+1,1),
MID(TRIM(LEFT($G94,IFERROR(FIND(";",$G94)-1,999))),2,1)
)
)&amp;"-"&amp;TEXT($C94,"yyyy-mm-dd"),
"")</f>
        <v/>
      </c>
      <c r="B94" s="25"/>
      <c r="C94" s="34"/>
      <c r="D94" s="38"/>
      <c r="E94" s="38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16" t="str">
        <f>IF($L94&lt;&gt;"","Purpose "&amp;CHAR(10)&amp;$L94&amp;CHAR(10)&amp;CHAR(10),"")&amp;
IF($M94&lt;&gt;"","Stops (in order) "&amp;CHAR(10)&amp;$M94&amp;CHAR(10)&amp;CHAR(10),"")&amp;
IF($N94&lt;&gt;"","To-Do (hard requirements) "&amp;CHAR(10)&amp;$N94&amp;CHAR(10)&amp;CHAR(10),"")&amp;
IF($O94&lt;&gt;"","Suggested Timeline "&amp;CHAR(10)&amp;$O94&amp;CHAR(10)&amp;CHAR(10),"")&amp;
IF($P94&lt;&gt;"","Guardrails "&amp;CHAR(10)&amp;$P94&amp;CHAR(10)&amp;CHAR(10),"")&amp;
IF($Q94&lt;&gt;"","Completion signals "&amp;CHAR(10)&amp;$Q94,"")</f>
        <v/>
      </c>
      <c r="S94" s="25"/>
      <c r="T94" s="25"/>
      <c r="U94" s="8"/>
      <c r="V94" s="8" t="str">
        <f>_xlfn.SINGLE(IF($B94 = "", "", IF(_xlfn.SINGLE(_xlfn.TEXTJOIN(" | ", TRUE, IF($B94 = "", "Missing Title", ""), IF($C94 = "", "Missing Date", ""), IF($D94 = "", "Missing Start", ""), IF($E94 = "", "Missing End", ""), IF($G94 = "", "Missing Required Attendees", ""), IF($T94 = "", "Missing Status", ""), IF(AND($D94 &lt;&gt; "", $E94 &lt;&gt; "", $D94 &gt;= $E94), "Start&gt;=End", ""), IF(OR($R94 = "", LEN($R94) &lt; 60, ISNUMBER(MATCH(TRIM($R94), StatusList, 0))), "Body overwritten/short", ""))) = "", "OK", _xlfn.TEXTJOIN(" | ", TRUE, IF($B94 = "", "Missing Title", ""), IF($C94 = "", "Missing Date", ""), IF($D94 = "", "Missing Start", ""), IF($E94 = "", "Missing End", ""), IF($G94 = "", "Missing Required Attendees", ""), IF($T94 = "", "Missing Status", ""), IF(AND($D94 &lt;&gt; "", $E94 &lt;&gt; "", $D94 &gt;= $E94), "Start&gt;=End", ""), IF(OR($R94 = "", LEN($R94) &lt; 60, ISNUMBER(MATCH(TRIM($R94), StatusList, 0))), "Body overwritten/short", "")))))</f>
        <v/>
      </c>
    </row>
    <row r="95" spans="1:22" ht="15" customHeight="1">
      <c r="A95" s="12" t="str">
        <f>IF(AND($B95&lt;&gt;"",$C95&lt;&gt;"",$D95&lt;&gt;"",$E95&lt;&gt;"",$G95&lt;&gt;""),
UPPER(
LEFT(TRIM(LEFT($G95,IFERROR(FIND(";",$G95)-1,999))),1)&amp;
IFERROR(
MID(TRIM(LEFT($G95,IFERROR(FIND(";",$G95)-1,999))),
FIND(" ",TRIM(LEFT($G95,IFERROR(FIND(";",$G95)-1,999))))+1,1),
MID(TRIM(LEFT($G95,IFERROR(FIND(";",$G95)-1,999))),2,1)
)
)&amp;"-"&amp;TEXT($C95,"yyyy-mm-dd"),
"")</f>
        <v/>
      </c>
      <c r="B95" s="25"/>
      <c r="C95" s="34"/>
      <c r="D95" s="38"/>
      <c r="E95" s="38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16" t="str">
        <f>IF($L95&lt;&gt;"","Purpose "&amp;CHAR(10)&amp;$L95&amp;CHAR(10)&amp;CHAR(10),"")&amp;
IF($M95&lt;&gt;"","Stops (in order) "&amp;CHAR(10)&amp;$M95&amp;CHAR(10)&amp;CHAR(10),"")&amp;
IF($N95&lt;&gt;"","To-Do (hard requirements) "&amp;CHAR(10)&amp;$N95&amp;CHAR(10)&amp;CHAR(10),"")&amp;
IF($O95&lt;&gt;"","Suggested Timeline "&amp;CHAR(10)&amp;$O95&amp;CHAR(10)&amp;CHAR(10),"")&amp;
IF($P95&lt;&gt;"","Guardrails "&amp;CHAR(10)&amp;$P95&amp;CHAR(10)&amp;CHAR(10),"")&amp;
IF($Q95&lt;&gt;"","Completion signals "&amp;CHAR(10)&amp;$Q95,"")</f>
        <v/>
      </c>
      <c r="S95" s="25"/>
      <c r="T95" s="25"/>
      <c r="U95" s="8"/>
      <c r="V95" s="8" t="str">
        <f>_xlfn.SINGLE(IF($B95 = "", "", IF(_xlfn.SINGLE(_xlfn.TEXTJOIN(" | ", TRUE, IF($B95 = "", "Missing Title", ""), IF($C95 = "", "Missing Date", ""), IF($D95 = "", "Missing Start", ""), IF($E95 = "", "Missing End", ""), IF($G95 = "", "Missing Required Attendees", ""), IF($T95 = "", "Missing Status", ""), IF(AND($D95 &lt;&gt; "", $E95 &lt;&gt; "", $D95 &gt;= $E95), "Start&gt;=End", ""), IF(OR($R95 = "", LEN($R95) &lt; 60, ISNUMBER(MATCH(TRIM($R95), StatusList, 0))), "Body overwritten/short", ""))) = "", "OK", _xlfn.TEXTJOIN(" | ", TRUE, IF($B95 = "", "Missing Title", ""), IF($C95 = "", "Missing Date", ""), IF($D95 = "", "Missing Start", ""), IF($E95 = "", "Missing End", ""), IF($G95 = "", "Missing Required Attendees", ""), IF($T95 = "", "Missing Status", ""), IF(AND($D95 &lt;&gt; "", $E95 &lt;&gt; "", $D95 &gt;= $E95), "Start&gt;=End", ""), IF(OR($R95 = "", LEN($R95) &lt; 60, ISNUMBER(MATCH(TRIM($R95), StatusList, 0))), "Body overwritten/short", "")))))</f>
        <v/>
      </c>
    </row>
    <row r="96" spans="1:22" ht="15" customHeight="1">
      <c r="A96" s="12" t="str">
        <f>IF(AND($B96&lt;&gt;"",$C96&lt;&gt;"",$D96&lt;&gt;"",$E96&lt;&gt;"",$G96&lt;&gt;""),
UPPER(
LEFT(TRIM(LEFT($G96,IFERROR(FIND(";",$G96)-1,999))),1)&amp;
IFERROR(
MID(TRIM(LEFT($G96,IFERROR(FIND(";",$G96)-1,999))),
FIND(" ",TRIM(LEFT($G96,IFERROR(FIND(";",$G96)-1,999))))+1,1),
MID(TRIM(LEFT($G96,IFERROR(FIND(";",$G96)-1,999))),2,1)
)
)&amp;"-"&amp;TEXT($C96,"yyyy-mm-dd"),
"")</f>
        <v/>
      </c>
      <c r="B96" s="25"/>
      <c r="C96" s="34"/>
      <c r="D96" s="38"/>
      <c r="E96" s="38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16" t="str">
        <f>IF($L96&lt;&gt;"","Purpose "&amp;CHAR(10)&amp;$L96&amp;CHAR(10)&amp;CHAR(10),"")&amp;
IF($M96&lt;&gt;"","Stops (in order) "&amp;CHAR(10)&amp;$M96&amp;CHAR(10)&amp;CHAR(10),"")&amp;
IF($N96&lt;&gt;"","To-Do (hard requirements) "&amp;CHAR(10)&amp;$N96&amp;CHAR(10)&amp;CHAR(10),"")&amp;
IF($O96&lt;&gt;"","Suggested Timeline "&amp;CHAR(10)&amp;$O96&amp;CHAR(10)&amp;CHAR(10),"")&amp;
IF($P96&lt;&gt;"","Guardrails "&amp;CHAR(10)&amp;$P96&amp;CHAR(10)&amp;CHAR(10),"")&amp;
IF($Q96&lt;&gt;"","Completion signals "&amp;CHAR(10)&amp;$Q96,"")</f>
        <v/>
      </c>
      <c r="S96" s="25"/>
      <c r="T96" s="25"/>
      <c r="U96" s="8"/>
      <c r="V96" s="8" t="str">
        <f>_xlfn.SINGLE(IF($B96 = "", "", IF(_xlfn.SINGLE(_xlfn.TEXTJOIN(" | ", TRUE, IF($B96 = "", "Missing Title", ""), IF($C96 = "", "Missing Date", ""), IF($D96 = "", "Missing Start", ""), IF($E96 = "", "Missing End", ""), IF($G96 = "", "Missing Required Attendees", ""), IF($T96 = "", "Missing Status", ""), IF(AND($D96 &lt;&gt; "", $E96 &lt;&gt; "", $D96 &gt;= $E96), "Start&gt;=End", ""), IF(OR($R96 = "", LEN($R96) &lt; 60, ISNUMBER(MATCH(TRIM($R96), StatusList, 0))), "Body overwritten/short", ""))) = "", "OK", _xlfn.TEXTJOIN(" | ", TRUE, IF($B96 = "", "Missing Title", ""), IF($C96 = "", "Missing Date", ""), IF($D96 = "", "Missing Start", ""), IF($E96 = "", "Missing End", ""), IF($G96 = "", "Missing Required Attendees", ""), IF($T96 = "", "Missing Status", ""), IF(AND($D96 &lt;&gt; "", $E96 &lt;&gt; "", $D96 &gt;= $E96), "Start&gt;=End", ""), IF(OR($R96 = "", LEN($R96) &lt; 60, ISNUMBER(MATCH(TRIM($R96), StatusList, 0))), "Body overwritten/short", "")))))</f>
        <v/>
      </c>
    </row>
    <row r="97" spans="1:22" ht="15" customHeight="1">
      <c r="A97" s="12" t="str">
        <f>IF(AND($B97&lt;&gt;"",$C97&lt;&gt;"",$D97&lt;&gt;"",$E97&lt;&gt;"",$G97&lt;&gt;""),
UPPER(
LEFT(TRIM(LEFT($G97,IFERROR(FIND(";",$G97)-1,999))),1)&amp;
IFERROR(
MID(TRIM(LEFT($G97,IFERROR(FIND(";",$G97)-1,999))),
FIND(" ",TRIM(LEFT($G97,IFERROR(FIND(";",$G97)-1,999))))+1,1),
MID(TRIM(LEFT($G97,IFERROR(FIND(";",$G97)-1,999))),2,1)
)
)&amp;"-"&amp;TEXT($C97,"yyyy-mm-dd"),
"")</f>
        <v/>
      </c>
      <c r="B97" s="25"/>
      <c r="C97" s="34"/>
      <c r="D97" s="38"/>
      <c r="E97" s="38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16" t="str">
        <f>IF($L97&lt;&gt;"","Purpose "&amp;CHAR(10)&amp;$L97&amp;CHAR(10)&amp;CHAR(10),"")&amp;
IF($M97&lt;&gt;"","Stops (in order) "&amp;CHAR(10)&amp;$M97&amp;CHAR(10)&amp;CHAR(10),"")&amp;
IF($N97&lt;&gt;"","To-Do (hard requirements) "&amp;CHAR(10)&amp;$N97&amp;CHAR(10)&amp;CHAR(10),"")&amp;
IF($O97&lt;&gt;"","Suggested Timeline "&amp;CHAR(10)&amp;$O97&amp;CHAR(10)&amp;CHAR(10),"")&amp;
IF($P97&lt;&gt;"","Guardrails "&amp;CHAR(10)&amp;$P97&amp;CHAR(10)&amp;CHAR(10),"")&amp;
IF($Q97&lt;&gt;"","Completion signals "&amp;CHAR(10)&amp;$Q97,"")</f>
        <v/>
      </c>
      <c r="S97" s="25"/>
      <c r="T97" s="25"/>
      <c r="U97" s="8"/>
      <c r="V97" s="8" t="str">
        <f>_xlfn.SINGLE(IF($B97 = "", "", IF(_xlfn.SINGLE(_xlfn.TEXTJOIN(" | ", TRUE, IF($B97 = "", "Missing Title", ""), IF($C97 = "", "Missing Date", ""), IF($D97 = "", "Missing Start", ""), IF($E97 = "", "Missing End", ""), IF($G97 = "", "Missing Required Attendees", ""), IF($T97 = "", "Missing Status", ""), IF(AND($D97 &lt;&gt; "", $E97 &lt;&gt; "", $D97 &gt;= $E97), "Start&gt;=End", ""), IF(OR($R97 = "", LEN($R97) &lt; 60, ISNUMBER(MATCH(TRIM($R97), StatusList, 0))), "Body overwritten/short", ""))) = "", "OK", _xlfn.TEXTJOIN(" | ", TRUE, IF($B97 = "", "Missing Title", ""), IF($C97 = "", "Missing Date", ""), IF($D97 = "", "Missing Start", ""), IF($E97 = "", "Missing End", ""), IF($G97 = "", "Missing Required Attendees", ""), IF($T97 = "", "Missing Status", ""), IF(AND($D97 &lt;&gt; "", $E97 &lt;&gt; "", $D97 &gt;= $E97), "Start&gt;=End", ""), IF(OR($R97 = "", LEN($R97) &lt; 60, ISNUMBER(MATCH(TRIM($R97), StatusList, 0))), "Body overwritten/short", "")))))</f>
        <v/>
      </c>
    </row>
    <row r="98" spans="1:22" ht="15" customHeight="1">
      <c r="A98" s="12" t="str">
        <f>IF(AND($B98&lt;&gt;"",$C98&lt;&gt;"",$D98&lt;&gt;"",$E98&lt;&gt;"",$G98&lt;&gt;""),
UPPER(
LEFT(TRIM(LEFT($G98,IFERROR(FIND(";",$G98)-1,999))),1)&amp;
IFERROR(
MID(TRIM(LEFT($G98,IFERROR(FIND(";",$G98)-1,999))),
FIND(" ",TRIM(LEFT($G98,IFERROR(FIND(";",$G98)-1,999))))+1,1),
MID(TRIM(LEFT($G98,IFERROR(FIND(";",$G98)-1,999))),2,1)
)
)&amp;"-"&amp;TEXT($C98,"yyyy-mm-dd"),
"")</f>
        <v/>
      </c>
      <c r="B98" s="25"/>
      <c r="C98" s="34"/>
      <c r="D98" s="38"/>
      <c r="E98" s="38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16" t="str">
        <f>IF($L98&lt;&gt;"","Purpose "&amp;CHAR(10)&amp;$L98&amp;CHAR(10)&amp;CHAR(10),"")&amp;
IF($M98&lt;&gt;"","Stops (in order) "&amp;CHAR(10)&amp;$M98&amp;CHAR(10)&amp;CHAR(10),"")&amp;
IF($N98&lt;&gt;"","To-Do (hard requirements) "&amp;CHAR(10)&amp;$N98&amp;CHAR(10)&amp;CHAR(10),"")&amp;
IF($O98&lt;&gt;"","Suggested Timeline "&amp;CHAR(10)&amp;$O98&amp;CHAR(10)&amp;CHAR(10),"")&amp;
IF($P98&lt;&gt;"","Guardrails "&amp;CHAR(10)&amp;$P98&amp;CHAR(10)&amp;CHAR(10),"")&amp;
IF($Q98&lt;&gt;"","Completion signals "&amp;CHAR(10)&amp;$Q98,"")</f>
        <v/>
      </c>
      <c r="S98" s="25"/>
      <c r="T98" s="25"/>
      <c r="U98" s="8"/>
      <c r="V98" s="8" t="str">
        <f>_xlfn.SINGLE(IF($B98 = "", "", IF(_xlfn.SINGLE(_xlfn.TEXTJOIN(" | ", TRUE, IF($B98 = "", "Missing Title", ""), IF($C98 = "", "Missing Date", ""), IF($D98 = "", "Missing Start", ""), IF($E98 = "", "Missing End", ""), IF($G98 = "", "Missing Required Attendees", ""), IF($T98 = "", "Missing Status", ""), IF(AND($D98 &lt;&gt; "", $E98 &lt;&gt; "", $D98 &gt;= $E98), "Start&gt;=End", ""), IF(OR($R98 = "", LEN($R98) &lt; 60, ISNUMBER(MATCH(TRIM($R98), StatusList, 0))), "Body overwritten/short", ""))) = "", "OK", _xlfn.TEXTJOIN(" | ", TRUE, IF($B98 = "", "Missing Title", ""), IF($C98 = "", "Missing Date", ""), IF($D98 = "", "Missing Start", ""), IF($E98 = "", "Missing End", ""), IF($G98 = "", "Missing Required Attendees", ""), IF($T98 = "", "Missing Status", ""), IF(AND($D98 &lt;&gt; "", $E98 &lt;&gt; "", $D98 &gt;= $E98), "Start&gt;=End", ""), IF(OR($R98 = "", LEN($R98) &lt; 60, ISNUMBER(MATCH(TRIM($R98), StatusList, 0))), "Body overwritten/short", "")))))</f>
        <v/>
      </c>
    </row>
    <row r="99" spans="1:22" ht="15" customHeight="1">
      <c r="A99" s="12" t="str">
        <f>IF(AND($B99&lt;&gt;"",$C99&lt;&gt;"",$D99&lt;&gt;"",$E99&lt;&gt;"",$G99&lt;&gt;""),
UPPER(
LEFT(TRIM(LEFT($G99,IFERROR(FIND(";",$G99)-1,999))),1)&amp;
IFERROR(
MID(TRIM(LEFT($G99,IFERROR(FIND(";",$G99)-1,999))),
FIND(" ",TRIM(LEFT($G99,IFERROR(FIND(";",$G99)-1,999))))+1,1),
MID(TRIM(LEFT($G99,IFERROR(FIND(";",$G99)-1,999))),2,1)
)
)&amp;"-"&amp;TEXT($C99,"yyyy-mm-dd"),
"")</f>
        <v/>
      </c>
      <c r="B99" s="25"/>
      <c r="C99" s="34"/>
      <c r="D99" s="38"/>
      <c r="E99" s="38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16" t="str">
        <f>IF($L99&lt;&gt;"","Purpose "&amp;CHAR(10)&amp;$L99&amp;CHAR(10)&amp;CHAR(10),"")&amp;
IF($M99&lt;&gt;"","Stops (in order) "&amp;CHAR(10)&amp;$M99&amp;CHAR(10)&amp;CHAR(10),"")&amp;
IF($N99&lt;&gt;"","To-Do (hard requirements) "&amp;CHAR(10)&amp;$N99&amp;CHAR(10)&amp;CHAR(10),"")&amp;
IF($O99&lt;&gt;"","Suggested Timeline "&amp;CHAR(10)&amp;$O99&amp;CHAR(10)&amp;CHAR(10),"")&amp;
IF($P99&lt;&gt;"","Guardrails "&amp;CHAR(10)&amp;$P99&amp;CHAR(10)&amp;CHAR(10),"")&amp;
IF($Q99&lt;&gt;"","Completion signals "&amp;CHAR(10)&amp;$Q99,"")</f>
        <v/>
      </c>
      <c r="S99" s="25"/>
      <c r="T99" s="25"/>
      <c r="U99" s="8"/>
      <c r="V99" s="8" t="str">
        <f>_xlfn.SINGLE(IF($B99 = "", "", IF(_xlfn.SINGLE(_xlfn.TEXTJOIN(" | ", TRUE, IF($B99 = "", "Missing Title", ""), IF($C99 = "", "Missing Date", ""), IF($D99 = "", "Missing Start", ""), IF($E99 = "", "Missing End", ""), IF($G99 = "", "Missing Required Attendees", ""), IF($T99 = "", "Missing Status", ""), IF(AND($D99 &lt;&gt; "", $E99 &lt;&gt; "", $D99 &gt;= $E99), "Start&gt;=End", ""), IF(OR($R99 = "", LEN($R99) &lt; 60, ISNUMBER(MATCH(TRIM($R99), StatusList, 0))), "Body overwritten/short", ""))) = "", "OK", _xlfn.TEXTJOIN(" | ", TRUE, IF($B99 = "", "Missing Title", ""), IF($C99 = "", "Missing Date", ""), IF($D99 = "", "Missing Start", ""), IF($E99 = "", "Missing End", ""), IF($G99 = "", "Missing Required Attendees", ""), IF($T99 = "", "Missing Status", ""), IF(AND($D99 &lt;&gt; "", $E99 &lt;&gt; "", $D99 &gt;= $E99), "Start&gt;=End", ""), IF(OR($R99 = "", LEN($R99) &lt; 60, ISNUMBER(MATCH(TRIM($R99), StatusList, 0))), "Body overwritten/short", "")))))</f>
        <v/>
      </c>
    </row>
    <row r="100" spans="1:22" ht="15" customHeight="1">
      <c r="A100" s="12" t="str">
        <f>IF(AND($B100&lt;&gt;"",$C100&lt;&gt;"",$D100&lt;&gt;"",$E100&lt;&gt;"",$G100&lt;&gt;""),
UPPER(
LEFT(TRIM(LEFT($G100,IFERROR(FIND(";",$G100)-1,999))),1)&amp;
IFERROR(
MID(TRIM(LEFT($G100,IFERROR(FIND(";",$G100)-1,999))),
FIND(" ",TRIM(LEFT($G100,IFERROR(FIND(";",$G100)-1,999))))+1,1),
MID(TRIM(LEFT($G100,IFERROR(FIND(";",$G100)-1,999))),2,1)
)
)&amp;"-"&amp;TEXT($C100,"yyyy-mm-dd"),
"")</f>
        <v/>
      </c>
      <c r="B100" s="25"/>
      <c r="C100" s="34"/>
      <c r="D100" s="38"/>
      <c r="E100" s="38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16" t="str">
        <f>IF($L100&lt;&gt;"","Purpose "&amp;CHAR(10)&amp;$L100&amp;CHAR(10)&amp;CHAR(10),"")&amp;
IF($M100&lt;&gt;"","Stops (in order) "&amp;CHAR(10)&amp;$M100&amp;CHAR(10)&amp;CHAR(10),"")&amp;
IF($N100&lt;&gt;"","To-Do (hard requirements) "&amp;CHAR(10)&amp;$N100&amp;CHAR(10)&amp;CHAR(10),"")&amp;
IF($O100&lt;&gt;"","Suggested Timeline "&amp;CHAR(10)&amp;$O100&amp;CHAR(10)&amp;CHAR(10),"")&amp;
IF($P100&lt;&gt;"","Guardrails "&amp;CHAR(10)&amp;$P100&amp;CHAR(10)&amp;CHAR(10),"")&amp;
IF($Q100&lt;&gt;"","Completion signals "&amp;CHAR(10)&amp;$Q100,"")</f>
        <v/>
      </c>
      <c r="S100" s="25"/>
      <c r="T100" s="25"/>
      <c r="U100" s="8"/>
      <c r="V100" s="8" t="str">
        <f>_xlfn.SINGLE(IF($B100 = "", "", IF(_xlfn.SINGLE(_xlfn.TEXTJOIN(" | ", TRUE, IF($B100 = "", "Missing Title", ""), IF($C100 = "", "Missing Date", ""), IF($D100 = "", "Missing Start", ""), IF($E100 = "", "Missing End", ""), IF($G100 = "", "Missing Required Attendees", ""), IF($T100 = "", "Missing Status", ""), IF(AND($D100 &lt;&gt; "", $E100 &lt;&gt; "", $D100 &gt;= $E100), "Start&gt;=End", ""), IF(OR($R100 = "", LEN($R100) &lt; 60, ISNUMBER(MATCH(TRIM($R100), StatusList, 0))), "Body overwritten/short", ""))) = "", "OK", _xlfn.TEXTJOIN(" | ", TRUE, IF($B100 = "", "Missing Title", ""), IF($C100 = "", "Missing Date", ""), IF($D100 = "", "Missing Start", ""), IF($E100 = "", "Missing End", ""), IF($G100 = "", "Missing Required Attendees", ""), IF($T100 = "", "Missing Status", ""), IF(AND($D100 &lt;&gt; "", $E100 &lt;&gt; "", $D100 &gt;= $E100), "Start&gt;=End", ""), IF(OR($R100 = "", LEN($R100) &lt; 60, ISNUMBER(MATCH(TRIM($R100), StatusList, 0))), "Body overwritten/short", "")))))</f>
        <v/>
      </c>
    </row>
    <row r="101" spans="1:22" ht="15" customHeight="1">
      <c r="A101" s="12" t="str">
        <f>IF(AND($B101&lt;&gt;"",$C101&lt;&gt;"",$D101&lt;&gt;"",$E101&lt;&gt;"",$G101&lt;&gt;""),
UPPER(
LEFT(TRIM(LEFT($G101,IFERROR(FIND(";",$G101)-1,999))),1)&amp;
IFERROR(
MID(TRIM(LEFT($G101,IFERROR(FIND(";",$G101)-1,999))),
FIND(" ",TRIM(LEFT($G101,IFERROR(FIND(";",$G101)-1,999))))+1,1),
MID(TRIM(LEFT($G101,IFERROR(FIND(";",$G101)-1,999))),2,1)
)
)&amp;"-"&amp;TEXT($C101,"yyyy-mm-dd"),
"")</f>
        <v/>
      </c>
      <c r="B101" s="25"/>
      <c r="C101" s="34"/>
      <c r="D101" s="38"/>
      <c r="E101" s="38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16" t="str">
        <f>IF($L101&lt;&gt;"","Purpose "&amp;CHAR(10)&amp;$L101&amp;CHAR(10)&amp;CHAR(10),"")&amp;
IF($M101&lt;&gt;"","Stops (in order) "&amp;CHAR(10)&amp;$M101&amp;CHAR(10)&amp;CHAR(10),"")&amp;
IF($N101&lt;&gt;"","To-Do (hard requirements) "&amp;CHAR(10)&amp;$N101&amp;CHAR(10)&amp;CHAR(10),"")&amp;
IF($O101&lt;&gt;"","Suggested Timeline "&amp;CHAR(10)&amp;$O101&amp;CHAR(10)&amp;CHAR(10),"")&amp;
IF($P101&lt;&gt;"","Guardrails "&amp;CHAR(10)&amp;$P101&amp;CHAR(10)&amp;CHAR(10),"")&amp;
IF($Q101&lt;&gt;"","Completion signals "&amp;CHAR(10)&amp;$Q101,"")</f>
        <v/>
      </c>
      <c r="S101" s="25"/>
      <c r="T101" s="25"/>
      <c r="U101" s="8"/>
      <c r="V101" s="8" t="str">
        <f>_xlfn.SINGLE(IF($B101 = "", "", IF(_xlfn.SINGLE(_xlfn.TEXTJOIN(" | ", TRUE, IF($B101 = "", "Missing Title", ""), IF($C101 = "", "Missing Date", ""), IF($D101 = "", "Missing Start", ""), IF($E101 = "", "Missing End", ""), IF($G101 = "", "Missing Required Attendees", ""), IF($T101 = "", "Missing Status", ""), IF(AND($D101 &lt;&gt; "", $E101 &lt;&gt; "", $D101 &gt;= $E101), "Start&gt;=End", ""), IF(OR($R101 = "", LEN($R101) &lt; 60, ISNUMBER(MATCH(TRIM($R101), StatusList, 0))), "Body overwritten/short", ""))) = "", "OK", _xlfn.TEXTJOIN(" | ", TRUE, IF($B101 = "", "Missing Title", ""), IF($C101 = "", "Missing Date", ""), IF($D101 = "", "Missing Start", ""), IF($E101 = "", "Missing End", ""), IF($G101 = "", "Missing Required Attendees", ""), IF($T101 = "", "Missing Status", ""), IF(AND($D101 &lt;&gt; "", $E101 &lt;&gt; "", $D101 &gt;= $E101), "Start&gt;=End", ""), IF(OR($R101 = "", LEN($R101) &lt; 60, ISNUMBER(MATCH(TRIM($R101), StatusList, 0))), "Body overwritten/short", "")))))</f>
        <v/>
      </c>
    </row>
    <row r="102" spans="1:22" ht="15" customHeight="1">
      <c r="A102" s="12" t="str">
        <f>IF(AND($B102&lt;&gt;"",$C102&lt;&gt;"",$D102&lt;&gt;"",$E102&lt;&gt;"",$G102&lt;&gt;""),
UPPER(
LEFT(TRIM(LEFT($G102,IFERROR(FIND(";",$G102)-1,999))),1)&amp;
IFERROR(
MID(TRIM(LEFT($G102,IFERROR(FIND(";",$G102)-1,999))),
FIND(" ",TRIM(LEFT($G102,IFERROR(FIND(";",$G102)-1,999))))+1,1),
MID(TRIM(LEFT($G102,IFERROR(FIND(";",$G102)-1,999))),2,1)
)
)&amp;"-"&amp;TEXT($C102,"yyyy-mm-dd"),
"")</f>
        <v/>
      </c>
      <c r="B102" s="25"/>
      <c r="C102" s="34"/>
      <c r="D102" s="38"/>
      <c r="E102" s="38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16" t="str">
        <f>IF($L102&lt;&gt;"","Purpose "&amp;CHAR(10)&amp;$L102&amp;CHAR(10)&amp;CHAR(10),"")&amp;
IF($M102&lt;&gt;"","Stops (in order) "&amp;CHAR(10)&amp;$M102&amp;CHAR(10)&amp;CHAR(10),"")&amp;
IF($N102&lt;&gt;"","To-Do (hard requirements) "&amp;CHAR(10)&amp;$N102&amp;CHAR(10)&amp;CHAR(10),"")&amp;
IF($O102&lt;&gt;"","Suggested Timeline "&amp;CHAR(10)&amp;$O102&amp;CHAR(10)&amp;CHAR(10),"")&amp;
IF($P102&lt;&gt;"","Guardrails "&amp;CHAR(10)&amp;$P102&amp;CHAR(10)&amp;CHAR(10),"")&amp;
IF($Q102&lt;&gt;"","Completion signals "&amp;CHAR(10)&amp;$Q102,"")</f>
        <v/>
      </c>
      <c r="S102" s="25"/>
      <c r="T102" s="25"/>
      <c r="U102" s="8"/>
      <c r="V102" s="8" t="str">
        <f>_xlfn.SINGLE(IF($B102 = "", "", IF(_xlfn.SINGLE(_xlfn.TEXTJOIN(" | ", TRUE, IF($B102 = "", "Missing Title", ""), IF($C102 = "", "Missing Date", ""), IF($D102 = "", "Missing Start", ""), IF($E102 = "", "Missing End", ""), IF($G102 = "", "Missing Required Attendees", ""), IF($T102 = "", "Missing Status", ""), IF(AND($D102 &lt;&gt; "", $E102 &lt;&gt; "", $D102 &gt;= $E102), "Start&gt;=End", ""), IF(OR($R102 = "", LEN($R102) &lt; 60, ISNUMBER(MATCH(TRIM($R102), StatusList, 0))), "Body overwritten/short", ""))) = "", "OK", _xlfn.TEXTJOIN(" | ", TRUE, IF($B102 = "", "Missing Title", ""), IF($C102 = "", "Missing Date", ""), IF($D102 = "", "Missing Start", ""), IF($E102 = "", "Missing End", ""), IF($G102 = "", "Missing Required Attendees", ""), IF($T102 = "", "Missing Status", ""), IF(AND($D102 &lt;&gt; "", $E102 &lt;&gt; "", $D102 &gt;= $E102), "Start&gt;=End", ""), IF(OR($R102 = "", LEN($R102) &lt; 60, ISNUMBER(MATCH(TRIM($R102), StatusList, 0))), "Body overwritten/short", "")))))</f>
        <v/>
      </c>
    </row>
    <row r="103" spans="1:22" ht="15" customHeight="1">
      <c r="A103" s="12" t="str">
        <f>IF(AND($B103&lt;&gt;"",$C103&lt;&gt;"",$D103&lt;&gt;"",$E103&lt;&gt;"",$G103&lt;&gt;""),
UPPER(
LEFT(TRIM(LEFT($G103,IFERROR(FIND(";",$G103)-1,999))),1)&amp;
IFERROR(
MID(TRIM(LEFT($G103,IFERROR(FIND(";",$G103)-1,999))),
FIND(" ",TRIM(LEFT($G103,IFERROR(FIND(";",$G103)-1,999))))+1,1),
MID(TRIM(LEFT($G103,IFERROR(FIND(";",$G103)-1,999))),2,1)
)
)&amp;"-"&amp;TEXT($C103,"yyyy-mm-dd"),
"")</f>
        <v/>
      </c>
      <c r="B103" s="25"/>
      <c r="C103" s="34"/>
      <c r="D103" s="38"/>
      <c r="E103" s="38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16" t="str">
        <f>IF($L103&lt;&gt;"","Purpose "&amp;CHAR(10)&amp;$L103&amp;CHAR(10)&amp;CHAR(10),"")&amp;
IF($M103&lt;&gt;"","Stops (in order) "&amp;CHAR(10)&amp;$M103&amp;CHAR(10)&amp;CHAR(10),"")&amp;
IF($N103&lt;&gt;"","To-Do (hard requirements) "&amp;CHAR(10)&amp;$N103&amp;CHAR(10)&amp;CHAR(10),"")&amp;
IF($O103&lt;&gt;"","Suggested Timeline "&amp;CHAR(10)&amp;$O103&amp;CHAR(10)&amp;CHAR(10),"")&amp;
IF($P103&lt;&gt;"","Guardrails "&amp;CHAR(10)&amp;$P103&amp;CHAR(10)&amp;CHAR(10),"")&amp;
IF($Q103&lt;&gt;"","Completion signals "&amp;CHAR(10)&amp;$Q103,"")</f>
        <v/>
      </c>
      <c r="S103" s="25"/>
      <c r="T103" s="25"/>
      <c r="U103" s="8"/>
      <c r="V103" s="8" t="str">
        <f>_xlfn.SINGLE(IF($B103 = "", "", IF(_xlfn.SINGLE(_xlfn.TEXTJOIN(" | ", TRUE, IF($B103 = "", "Missing Title", ""), IF($C103 = "", "Missing Date", ""), IF($D103 = "", "Missing Start", ""), IF($E103 = "", "Missing End", ""), IF($G103 = "", "Missing Required Attendees", ""), IF($T103 = "", "Missing Status", ""), IF(AND($D103 &lt;&gt; "", $E103 &lt;&gt; "", $D103 &gt;= $E103), "Start&gt;=End", ""), IF(OR($R103 = "", LEN($R103) &lt; 60, ISNUMBER(MATCH(TRIM($R103), StatusList, 0))), "Body overwritten/short", ""))) = "", "OK", _xlfn.TEXTJOIN(" | ", TRUE, IF($B103 = "", "Missing Title", ""), IF($C103 = "", "Missing Date", ""), IF($D103 = "", "Missing Start", ""), IF($E103 = "", "Missing End", ""), IF($G103 = "", "Missing Required Attendees", ""), IF($T103 = "", "Missing Status", ""), IF(AND($D103 &lt;&gt; "", $E103 &lt;&gt; "", $D103 &gt;= $E103), "Start&gt;=End", ""), IF(OR($R103 = "", LEN($R103) &lt; 60, ISNUMBER(MATCH(TRIM($R103), StatusList, 0))), "Body overwritten/short", "")))))</f>
        <v/>
      </c>
    </row>
    <row r="104" spans="1:22" ht="15" customHeight="1">
      <c r="A104" s="12" t="str">
        <f>IF(AND($B104&lt;&gt;"",$C104&lt;&gt;"",$D104&lt;&gt;"",$E104&lt;&gt;"",$G104&lt;&gt;""),
UPPER(
LEFT(TRIM(LEFT($G104,IFERROR(FIND(";",$G104)-1,999))),1)&amp;
IFERROR(
MID(TRIM(LEFT($G104,IFERROR(FIND(";",$G104)-1,999))),
FIND(" ",TRIM(LEFT($G104,IFERROR(FIND(";",$G104)-1,999))))+1,1),
MID(TRIM(LEFT($G104,IFERROR(FIND(";",$G104)-1,999))),2,1)
)
)&amp;"-"&amp;TEXT($C104,"yyyy-mm-dd"),
"")</f>
        <v/>
      </c>
      <c r="B104" s="25"/>
      <c r="C104" s="34"/>
      <c r="D104" s="38"/>
      <c r="E104" s="38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16" t="str">
        <f>IF($L104&lt;&gt;"","Purpose "&amp;CHAR(10)&amp;$L104&amp;CHAR(10)&amp;CHAR(10),"")&amp;
IF($M104&lt;&gt;"","Stops (in order) "&amp;CHAR(10)&amp;$M104&amp;CHAR(10)&amp;CHAR(10),"")&amp;
IF($N104&lt;&gt;"","To-Do (hard requirements) "&amp;CHAR(10)&amp;$N104&amp;CHAR(10)&amp;CHAR(10),"")&amp;
IF($O104&lt;&gt;"","Suggested Timeline "&amp;CHAR(10)&amp;$O104&amp;CHAR(10)&amp;CHAR(10),"")&amp;
IF($P104&lt;&gt;"","Guardrails "&amp;CHAR(10)&amp;$P104&amp;CHAR(10)&amp;CHAR(10),"")&amp;
IF($Q104&lt;&gt;"","Completion signals "&amp;CHAR(10)&amp;$Q104,"")</f>
        <v/>
      </c>
      <c r="S104" s="25"/>
      <c r="T104" s="25"/>
      <c r="U104" s="8"/>
      <c r="V104" s="8" t="str">
        <f>_xlfn.SINGLE(IF($B104 = "", "", IF(_xlfn.SINGLE(_xlfn.TEXTJOIN(" | ", TRUE, IF($B104 = "", "Missing Title", ""), IF($C104 = "", "Missing Date", ""), IF($D104 = "", "Missing Start", ""), IF($E104 = "", "Missing End", ""), IF($G104 = "", "Missing Required Attendees", ""), IF($T104 = "", "Missing Status", ""), IF(AND($D104 &lt;&gt; "", $E104 &lt;&gt; "", $D104 &gt;= $E104), "Start&gt;=End", ""), IF(OR($R104 = "", LEN($R104) &lt; 60, ISNUMBER(MATCH(TRIM($R104), StatusList, 0))), "Body overwritten/short", ""))) = "", "OK", _xlfn.TEXTJOIN(" | ", TRUE, IF($B104 = "", "Missing Title", ""), IF($C104 = "", "Missing Date", ""), IF($D104 = "", "Missing Start", ""), IF($E104 = "", "Missing End", ""), IF($G104 = "", "Missing Required Attendees", ""), IF($T104 = "", "Missing Status", ""), IF(AND($D104 &lt;&gt; "", $E104 &lt;&gt; "", $D104 &gt;= $E104), "Start&gt;=End", ""), IF(OR($R104 = "", LEN($R104) &lt; 60, ISNUMBER(MATCH(TRIM($R104), StatusList, 0))), "Body overwritten/short", "")))))</f>
        <v/>
      </c>
    </row>
    <row r="105" spans="1:22" ht="15" customHeight="1">
      <c r="A105" s="12" t="str">
        <f>IF(AND($B105&lt;&gt;"",$C105&lt;&gt;"",$D105&lt;&gt;"",$E105&lt;&gt;"",$G105&lt;&gt;""),
UPPER(
LEFT(TRIM(LEFT($G105,IFERROR(FIND(";",$G105)-1,999))),1)&amp;
IFERROR(
MID(TRIM(LEFT($G105,IFERROR(FIND(";",$G105)-1,999))),
FIND(" ",TRIM(LEFT($G105,IFERROR(FIND(";",$G105)-1,999))))+1,1),
MID(TRIM(LEFT($G105,IFERROR(FIND(";",$G105)-1,999))),2,1)
)
)&amp;"-"&amp;TEXT($C105,"yyyy-mm-dd"),
"")</f>
        <v/>
      </c>
      <c r="B105" s="25"/>
      <c r="C105" s="34"/>
      <c r="D105" s="38"/>
      <c r="E105" s="38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16" t="str">
        <f>IF($L105&lt;&gt;"","Purpose "&amp;CHAR(10)&amp;$L105&amp;CHAR(10)&amp;CHAR(10),"")&amp;
IF($M105&lt;&gt;"","Stops (in order) "&amp;CHAR(10)&amp;$M105&amp;CHAR(10)&amp;CHAR(10),"")&amp;
IF($N105&lt;&gt;"","To-Do (hard requirements) "&amp;CHAR(10)&amp;$N105&amp;CHAR(10)&amp;CHAR(10),"")&amp;
IF($O105&lt;&gt;"","Suggested Timeline "&amp;CHAR(10)&amp;$O105&amp;CHAR(10)&amp;CHAR(10),"")&amp;
IF($P105&lt;&gt;"","Guardrails "&amp;CHAR(10)&amp;$P105&amp;CHAR(10)&amp;CHAR(10),"")&amp;
IF($Q105&lt;&gt;"","Completion signals "&amp;CHAR(10)&amp;$Q105,"")</f>
        <v/>
      </c>
      <c r="S105" s="25"/>
      <c r="T105" s="25"/>
      <c r="U105" s="8"/>
      <c r="V105" s="8" t="str">
        <f>_xlfn.SINGLE(IF($B105 = "", "", IF(_xlfn.SINGLE(_xlfn.TEXTJOIN(" | ", TRUE, IF($B105 = "", "Missing Title", ""), IF($C105 = "", "Missing Date", ""), IF($D105 = "", "Missing Start", ""), IF($E105 = "", "Missing End", ""), IF($G105 = "", "Missing Required Attendees", ""), IF($T105 = "", "Missing Status", ""), IF(AND($D105 &lt;&gt; "", $E105 &lt;&gt; "", $D105 &gt;= $E105), "Start&gt;=End", ""), IF(OR($R105 = "", LEN($R105) &lt; 60, ISNUMBER(MATCH(TRIM($R105), StatusList, 0))), "Body overwritten/short", ""))) = "", "OK", _xlfn.TEXTJOIN(" | ", TRUE, IF($B105 = "", "Missing Title", ""), IF($C105 = "", "Missing Date", ""), IF($D105 = "", "Missing Start", ""), IF($E105 = "", "Missing End", ""), IF($G105 = "", "Missing Required Attendees", ""), IF($T105 = "", "Missing Status", ""), IF(AND($D105 &lt;&gt; "", $E105 &lt;&gt; "", $D105 &gt;= $E105), "Start&gt;=End", ""), IF(OR($R105 = "", LEN($R105) &lt; 60, ISNUMBER(MATCH(TRIM($R105), StatusList, 0))), "Body overwritten/short", "")))))</f>
        <v/>
      </c>
    </row>
    <row r="106" spans="1:22" ht="15" customHeight="1">
      <c r="A106" s="12" t="str">
        <f>IF(AND($B106&lt;&gt;"",$C106&lt;&gt;"",$D106&lt;&gt;"",$E106&lt;&gt;"",$G106&lt;&gt;""),
UPPER(
LEFT(TRIM(LEFT($G106,IFERROR(FIND(";",$G106)-1,999))),1)&amp;
IFERROR(
MID(TRIM(LEFT($G106,IFERROR(FIND(";",$G106)-1,999))),
FIND(" ",TRIM(LEFT($G106,IFERROR(FIND(";",$G106)-1,999))))+1,1),
MID(TRIM(LEFT($G106,IFERROR(FIND(";",$G106)-1,999))),2,1)
)
)&amp;"-"&amp;TEXT($C106,"yyyy-mm-dd"),
"")</f>
        <v/>
      </c>
      <c r="B106" s="25"/>
      <c r="C106" s="34"/>
      <c r="D106" s="38"/>
      <c r="E106" s="38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16" t="str">
        <f>IF($L106&lt;&gt;"","Purpose "&amp;CHAR(10)&amp;$L106&amp;CHAR(10)&amp;CHAR(10),"")&amp;
IF($M106&lt;&gt;"","Stops (in order) "&amp;CHAR(10)&amp;$M106&amp;CHAR(10)&amp;CHAR(10),"")&amp;
IF($N106&lt;&gt;"","To-Do (hard requirements) "&amp;CHAR(10)&amp;$N106&amp;CHAR(10)&amp;CHAR(10),"")&amp;
IF($O106&lt;&gt;"","Suggested Timeline "&amp;CHAR(10)&amp;$O106&amp;CHAR(10)&amp;CHAR(10),"")&amp;
IF($P106&lt;&gt;"","Guardrails "&amp;CHAR(10)&amp;$P106&amp;CHAR(10)&amp;CHAR(10),"")&amp;
IF($Q106&lt;&gt;"","Completion signals "&amp;CHAR(10)&amp;$Q106,"")</f>
        <v/>
      </c>
      <c r="S106" s="25"/>
      <c r="T106" s="25"/>
      <c r="U106" s="8"/>
      <c r="V106" s="8" t="str">
        <f>_xlfn.SINGLE(IF($B106 = "", "", IF(_xlfn.SINGLE(_xlfn.TEXTJOIN(" | ", TRUE, IF($B106 = "", "Missing Title", ""), IF($C106 = "", "Missing Date", ""), IF($D106 = "", "Missing Start", ""), IF($E106 = "", "Missing End", ""), IF($G106 = "", "Missing Required Attendees", ""), IF($T106 = "", "Missing Status", ""), IF(AND($D106 &lt;&gt; "", $E106 &lt;&gt; "", $D106 &gt;= $E106), "Start&gt;=End", ""), IF(OR($R106 = "", LEN($R106) &lt; 60, ISNUMBER(MATCH(TRIM($R106), StatusList, 0))), "Body overwritten/short", ""))) = "", "OK", _xlfn.TEXTJOIN(" | ", TRUE, IF($B106 = "", "Missing Title", ""), IF($C106 = "", "Missing Date", ""), IF($D106 = "", "Missing Start", ""), IF($E106 = "", "Missing End", ""), IF($G106 = "", "Missing Required Attendees", ""), IF($T106 = "", "Missing Status", ""), IF(AND($D106 &lt;&gt; "", $E106 &lt;&gt; "", $D106 &gt;= $E106), "Start&gt;=End", ""), IF(OR($R106 = "", LEN($R106) &lt; 60, ISNUMBER(MATCH(TRIM($R106), StatusList, 0))), "Body overwritten/short", "")))))</f>
        <v/>
      </c>
    </row>
    <row r="107" spans="1:22" ht="15" customHeight="1">
      <c r="A107" s="12" t="str">
        <f>IF(AND($B107&lt;&gt;"",$C107&lt;&gt;"",$D107&lt;&gt;"",$E107&lt;&gt;"",$G107&lt;&gt;""),
UPPER(
LEFT(TRIM(LEFT($G107,IFERROR(FIND(";",$G107)-1,999))),1)&amp;
IFERROR(
MID(TRIM(LEFT($G107,IFERROR(FIND(";",$G107)-1,999))),
FIND(" ",TRIM(LEFT($G107,IFERROR(FIND(";",$G107)-1,999))))+1,1),
MID(TRIM(LEFT($G107,IFERROR(FIND(";",$G107)-1,999))),2,1)
)
)&amp;"-"&amp;TEXT($C107,"yyyy-mm-dd"),
"")</f>
        <v/>
      </c>
      <c r="B107" s="25"/>
      <c r="C107" s="34"/>
      <c r="D107" s="38"/>
      <c r="E107" s="38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16" t="str">
        <f>IF($L107&lt;&gt;"","Purpose "&amp;CHAR(10)&amp;$L107&amp;CHAR(10)&amp;CHAR(10),"")&amp;
IF($M107&lt;&gt;"","Stops (in order) "&amp;CHAR(10)&amp;$M107&amp;CHAR(10)&amp;CHAR(10),"")&amp;
IF($N107&lt;&gt;"","To-Do (hard requirements) "&amp;CHAR(10)&amp;$N107&amp;CHAR(10)&amp;CHAR(10),"")&amp;
IF($O107&lt;&gt;"","Suggested Timeline "&amp;CHAR(10)&amp;$O107&amp;CHAR(10)&amp;CHAR(10),"")&amp;
IF($P107&lt;&gt;"","Guardrails "&amp;CHAR(10)&amp;$P107&amp;CHAR(10)&amp;CHAR(10),"")&amp;
IF($Q107&lt;&gt;"","Completion signals "&amp;CHAR(10)&amp;$Q107,"")</f>
        <v/>
      </c>
      <c r="S107" s="25"/>
      <c r="T107" s="25"/>
      <c r="U107" s="8"/>
      <c r="V107" s="8" t="str">
        <f>_xlfn.SINGLE(IF($B107 = "", "", IF(_xlfn.SINGLE(_xlfn.TEXTJOIN(" | ", TRUE, IF($B107 = "", "Missing Title", ""), IF($C107 = "", "Missing Date", ""), IF($D107 = "", "Missing Start", ""), IF($E107 = "", "Missing End", ""), IF($G107 = "", "Missing Required Attendees", ""), IF($T107 = "", "Missing Status", ""), IF(AND($D107 &lt;&gt; "", $E107 &lt;&gt; "", $D107 &gt;= $E107), "Start&gt;=End", ""), IF(OR($R107 = "", LEN($R107) &lt; 60, ISNUMBER(MATCH(TRIM($R107), StatusList, 0))), "Body overwritten/short", ""))) = "", "OK", _xlfn.TEXTJOIN(" | ", TRUE, IF($B107 = "", "Missing Title", ""), IF($C107 = "", "Missing Date", ""), IF($D107 = "", "Missing Start", ""), IF($E107 = "", "Missing End", ""), IF($G107 = "", "Missing Required Attendees", ""), IF($T107 = "", "Missing Status", ""), IF(AND($D107 &lt;&gt; "", $E107 &lt;&gt; "", $D107 &gt;= $E107), "Start&gt;=End", ""), IF(OR($R107 = "", LEN($R107) &lt; 60, ISNUMBER(MATCH(TRIM($R107), StatusList, 0))), "Body overwritten/short", "")))))</f>
        <v/>
      </c>
    </row>
    <row r="108" spans="1:22" ht="15" customHeight="1">
      <c r="A108" s="12" t="str">
        <f>IF(AND($B108&lt;&gt;"",$C108&lt;&gt;"",$D108&lt;&gt;"",$E108&lt;&gt;"",$G108&lt;&gt;""),
UPPER(
LEFT(TRIM(LEFT($G108,IFERROR(FIND(";",$G108)-1,999))),1)&amp;
IFERROR(
MID(TRIM(LEFT($G108,IFERROR(FIND(";",$G108)-1,999))),
FIND(" ",TRIM(LEFT($G108,IFERROR(FIND(";",$G108)-1,999))))+1,1),
MID(TRIM(LEFT($G108,IFERROR(FIND(";",$G108)-1,999))),2,1)
)
)&amp;"-"&amp;TEXT($C108,"yyyy-mm-dd"),
"")</f>
        <v/>
      </c>
      <c r="B108" s="25"/>
      <c r="C108" s="34"/>
      <c r="D108" s="38"/>
      <c r="E108" s="38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16" t="str">
        <f>IF($L108&lt;&gt;"","Purpose "&amp;CHAR(10)&amp;$L108&amp;CHAR(10)&amp;CHAR(10),"")&amp;
IF($M108&lt;&gt;"","Stops (in order) "&amp;CHAR(10)&amp;$M108&amp;CHAR(10)&amp;CHAR(10),"")&amp;
IF($N108&lt;&gt;"","To-Do (hard requirements) "&amp;CHAR(10)&amp;$N108&amp;CHAR(10)&amp;CHAR(10),"")&amp;
IF($O108&lt;&gt;"","Suggested Timeline "&amp;CHAR(10)&amp;$O108&amp;CHAR(10)&amp;CHAR(10),"")&amp;
IF($P108&lt;&gt;"","Guardrails "&amp;CHAR(10)&amp;$P108&amp;CHAR(10)&amp;CHAR(10),"")&amp;
IF($Q108&lt;&gt;"","Completion signals "&amp;CHAR(10)&amp;$Q108,"")</f>
        <v/>
      </c>
      <c r="S108" s="25"/>
      <c r="T108" s="25"/>
      <c r="U108" s="8"/>
      <c r="V108" s="8" t="str">
        <f>_xlfn.SINGLE(IF($B108 = "", "", IF(_xlfn.SINGLE(_xlfn.TEXTJOIN(" | ", TRUE, IF($B108 = "", "Missing Title", ""), IF($C108 = "", "Missing Date", ""), IF($D108 = "", "Missing Start", ""), IF($E108 = "", "Missing End", ""), IF($G108 = "", "Missing Required Attendees", ""), IF($T108 = "", "Missing Status", ""), IF(AND($D108 &lt;&gt; "", $E108 &lt;&gt; "", $D108 &gt;= $E108), "Start&gt;=End", ""), IF(OR($R108 = "", LEN($R108) &lt; 60, ISNUMBER(MATCH(TRIM($R108), StatusList, 0))), "Body overwritten/short", ""))) = "", "OK", _xlfn.TEXTJOIN(" | ", TRUE, IF($B108 = "", "Missing Title", ""), IF($C108 = "", "Missing Date", ""), IF($D108 = "", "Missing Start", ""), IF($E108 = "", "Missing End", ""), IF($G108 = "", "Missing Required Attendees", ""), IF($T108 = "", "Missing Status", ""), IF(AND($D108 &lt;&gt; "", $E108 &lt;&gt; "", $D108 &gt;= $E108), "Start&gt;=End", ""), IF(OR($R108 = "", LEN($R108) &lt; 60, ISNUMBER(MATCH(TRIM($R108), StatusList, 0))), "Body overwritten/short", "")))))</f>
        <v/>
      </c>
    </row>
    <row r="109" spans="1:22" ht="15" customHeight="1">
      <c r="A109" s="12" t="str">
        <f>IF(AND($B109&lt;&gt;"",$C109&lt;&gt;"",$D109&lt;&gt;"",$E109&lt;&gt;"",$G109&lt;&gt;""),
UPPER(
LEFT(TRIM(LEFT($G109,IFERROR(FIND(";",$G109)-1,999))),1)&amp;
IFERROR(
MID(TRIM(LEFT($G109,IFERROR(FIND(";",$G109)-1,999))),
FIND(" ",TRIM(LEFT($G109,IFERROR(FIND(";",$G109)-1,999))))+1,1),
MID(TRIM(LEFT($G109,IFERROR(FIND(";",$G109)-1,999))),2,1)
)
)&amp;"-"&amp;TEXT($C109,"yyyy-mm-dd"),
"")</f>
        <v/>
      </c>
      <c r="B109" s="25"/>
      <c r="C109" s="34"/>
      <c r="D109" s="38"/>
      <c r="E109" s="38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16" t="str">
        <f>IF($L109&lt;&gt;"","Purpose "&amp;CHAR(10)&amp;$L109&amp;CHAR(10)&amp;CHAR(10),"")&amp;
IF($M109&lt;&gt;"","Stops (in order) "&amp;CHAR(10)&amp;$M109&amp;CHAR(10)&amp;CHAR(10),"")&amp;
IF($N109&lt;&gt;"","To-Do (hard requirements) "&amp;CHAR(10)&amp;$N109&amp;CHAR(10)&amp;CHAR(10),"")&amp;
IF($O109&lt;&gt;"","Suggested Timeline "&amp;CHAR(10)&amp;$O109&amp;CHAR(10)&amp;CHAR(10),"")&amp;
IF($P109&lt;&gt;"","Guardrails "&amp;CHAR(10)&amp;$P109&amp;CHAR(10)&amp;CHAR(10),"")&amp;
IF($Q109&lt;&gt;"","Completion signals "&amp;CHAR(10)&amp;$Q109,"")</f>
        <v/>
      </c>
      <c r="S109" s="25"/>
      <c r="T109" s="25"/>
      <c r="U109" s="8"/>
      <c r="V109" s="8" t="str">
        <f>_xlfn.SINGLE(IF($B109 = "", "", IF(_xlfn.SINGLE(_xlfn.TEXTJOIN(" | ", TRUE, IF($B109 = "", "Missing Title", ""), IF($C109 = "", "Missing Date", ""), IF($D109 = "", "Missing Start", ""), IF($E109 = "", "Missing End", ""), IF($G109 = "", "Missing Required Attendees", ""), IF($T109 = "", "Missing Status", ""), IF(AND($D109 &lt;&gt; "", $E109 &lt;&gt; "", $D109 &gt;= $E109), "Start&gt;=End", ""), IF(OR($R109 = "", LEN($R109) &lt; 60, ISNUMBER(MATCH(TRIM($R109), StatusList, 0))), "Body overwritten/short", ""))) = "", "OK", _xlfn.TEXTJOIN(" | ", TRUE, IF($B109 = "", "Missing Title", ""), IF($C109 = "", "Missing Date", ""), IF($D109 = "", "Missing Start", ""), IF($E109 = "", "Missing End", ""), IF($G109 = "", "Missing Required Attendees", ""), IF($T109 = "", "Missing Status", ""), IF(AND($D109 &lt;&gt; "", $E109 &lt;&gt; "", $D109 &gt;= $E109), "Start&gt;=End", ""), IF(OR($R109 = "", LEN($R109) &lt; 60, ISNUMBER(MATCH(TRIM($R109), StatusList, 0))), "Body overwritten/short", "")))))</f>
        <v/>
      </c>
    </row>
    <row r="110" spans="1:22" ht="15" customHeight="1">
      <c r="A110" s="12" t="str">
        <f>IF(AND($B110&lt;&gt;"",$C110&lt;&gt;"",$D110&lt;&gt;"",$E110&lt;&gt;"",$G110&lt;&gt;""),
UPPER(
LEFT(TRIM(LEFT($G110,IFERROR(FIND(";",$G110)-1,999))),1)&amp;
IFERROR(
MID(TRIM(LEFT($G110,IFERROR(FIND(";",$G110)-1,999))),
FIND(" ",TRIM(LEFT($G110,IFERROR(FIND(";",$G110)-1,999))))+1,1),
MID(TRIM(LEFT($G110,IFERROR(FIND(";",$G110)-1,999))),2,1)
)
)&amp;"-"&amp;TEXT($C110,"yyyy-mm-dd"),
"")</f>
        <v/>
      </c>
      <c r="B110" s="25"/>
      <c r="C110" s="34"/>
      <c r="D110" s="38"/>
      <c r="E110" s="38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16" t="str">
        <f>IF($L110&lt;&gt;"","Purpose "&amp;CHAR(10)&amp;$L110&amp;CHAR(10)&amp;CHAR(10),"")&amp;
IF($M110&lt;&gt;"","Stops (in order) "&amp;CHAR(10)&amp;$M110&amp;CHAR(10)&amp;CHAR(10),"")&amp;
IF($N110&lt;&gt;"","To-Do (hard requirements) "&amp;CHAR(10)&amp;$N110&amp;CHAR(10)&amp;CHAR(10),"")&amp;
IF($O110&lt;&gt;"","Suggested Timeline "&amp;CHAR(10)&amp;$O110&amp;CHAR(10)&amp;CHAR(10),"")&amp;
IF($P110&lt;&gt;"","Guardrails "&amp;CHAR(10)&amp;$P110&amp;CHAR(10)&amp;CHAR(10),"")&amp;
IF($Q110&lt;&gt;"","Completion signals "&amp;CHAR(10)&amp;$Q110,"")</f>
        <v/>
      </c>
      <c r="S110" s="25"/>
      <c r="T110" s="25"/>
      <c r="U110" s="8"/>
      <c r="V110" s="8" t="str">
        <f>_xlfn.SINGLE(IF($B110 = "", "", IF(_xlfn.SINGLE(_xlfn.TEXTJOIN(" | ", TRUE, IF($B110 = "", "Missing Title", ""), IF($C110 = "", "Missing Date", ""), IF($D110 = "", "Missing Start", ""), IF($E110 = "", "Missing End", ""), IF($G110 = "", "Missing Required Attendees", ""), IF($T110 = "", "Missing Status", ""), IF(AND($D110 &lt;&gt; "", $E110 &lt;&gt; "", $D110 &gt;= $E110), "Start&gt;=End", ""), IF(OR($R110 = "", LEN($R110) &lt; 60, ISNUMBER(MATCH(TRIM($R110), StatusList, 0))), "Body overwritten/short", ""))) = "", "OK", _xlfn.TEXTJOIN(" | ", TRUE, IF($B110 = "", "Missing Title", ""), IF($C110 = "", "Missing Date", ""), IF($D110 = "", "Missing Start", ""), IF($E110 = "", "Missing End", ""), IF($G110 = "", "Missing Required Attendees", ""), IF($T110 = "", "Missing Status", ""), IF(AND($D110 &lt;&gt; "", $E110 &lt;&gt; "", $D110 &gt;= $E110), "Start&gt;=End", ""), IF(OR($R110 = "", LEN($R110) &lt; 60, ISNUMBER(MATCH(TRIM($R110), StatusList, 0))), "Body overwritten/short", "")))))</f>
        <v/>
      </c>
    </row>
    <row r="111" spans="1:22" ht="15" customHeight="1">
      <c r="A111" s="12" t="str">
        <f>IF(AND($B111&lt;&gt;"",$C111&lt;&gt;"",$D111&lt;&gt;"",$E111&lt;&gt;"",$G111&lt;&gt;""),
UPPER(
LEFT(TRIM(LEFT($G111,IFERROR(FIND(";",$G111)-1,999))),1)&amp;
IFERROR(
MID(TRIM(LEFT($G111,IFERROR(FIND(";",$G111)-1,999))),
FIND(" ",TRIM(LEFT($G111,IFERROR(FIND(";",$G111)-1,999))))+1,1),
MID(TRIM(LEFT($G111,IFERROR(FIND(";",$G111)-1,999))),2,1)
)
)&amp;"-"&amp;TEXT($C111,"yyyy-mm-dd"),
"")</f>
        <v/>
      </c>
      <c r="B111" s="25"/>
      <c r="C111" s="34"/>
      <c r="D111" s="38"/>
      <c r="E111" s="38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16" t="str">
        <f>IF($L111&lt;&gt;"","Purpose "&amp;CHAR(10)&amp;$L111&amp;CHAR(10)&amp;CHAR(10),"")&amp;
IF($M111&lt;&gt;"","Stops (in order) "&amp;CHAR(10)&amp;$M111&amp;CHAR(10)&amp;CHAR(10),"")&amp;
IF($N111&lt;&gt;"","To-Do (hard requirements) "&amp;CHAR(10)&amp;$N111&amp;CHAR(10)&amp;CHAR(10),"")&amp;
IF($O111&lt;&gt;"","Suggested Timeline "&amp;CHAR(10)&amp;$O111&amp;CHAR(10)&amp;CHAR(10),"")&amp;
IF($P111&lt;&gt;"","Guardrails "&amp;CHAR(10)&amp;$P111&amp;CHAR(10)&amp;CHAR(10),"")&amp;
IF($Q111&lt;&gt;"","Completion signals "&amp;CHAR(10)&amp;$Q111,"")</f>
        <v/>
      </c>
      <c r="S111" s="25"/>
      <c r="T111" s="25"/>
      <c r="U111" s="8"/>
      <c r="V111" s="8" t="str">
        <f>_xlfn.SINGLE(IF($B111 = "", "", IF(_xlfn.SINGLE(_xlfn.TEXTJOIN(" | ", TRUE, IF($B111 = "", "Missing Title", ""), IF($C111 = "", "Missing Date", ""), IF($D111 = "", "Missing Start", ""), IF($E111 = "", "Missing End", ""), IF($G111 = "", "Missing Required Attendees", ""), IF($T111 = "", "Missing Status", ""), IF(AND($D111 &lt;&gt; "", $E111 &lt;&gt; "", $D111 &gt;= $E111), "Start&gt;=End", ""), IF(OR($R111 = "", LEN($R111) &lt; 60, ISNUMBER(MATCH(TRIM($R111), StatusList, 0))), "Body overwritten/short", ""))) = "", "OK", _xlfn.TEXTJOIN(" | ", TRUE, IF($B111 = "", "Missing Title", ""), IF($C111 = "", "Missing Date", ""), IF($D111 = "", "Missing Start", ""), IF($E111 = "", "Missing End", ""), IF($G111 = "", "Missing Required Attendees", ""), IF($T111 = "", "Missing Status", ""), IF(AND($D111 &lt;&gt; "", $E111 &lt;&gt; "", $D111 &gt;= $E111), "Start&gt;=End", ""), IF(OR($R111 = "", LEN($R111) &lt; 60, ISNUMBER(MATCH(TRIM($R111), StatusList, 0))), "Body overwritten/short", "")))))</f>
        <v/>
      </c>
    </row>
    <row r="112" spans="1:22" ht="15" customHeight="1">
      <c r="A112" s="12" t="str">
        <f>IF(AND($B112&lt;&gt;"",$C112&lt;&gt;"",$D112&lt;&gt;"",$E112&lt;&gt;"",$G112&lt;&gt;""),
UPPER(
LEFT(TRIM(LEFT($G112,IFERROR(FIND(";",$G112)-1,999))),1)&amp;
IFERROR(
MID(TRIM(LEFT($G112,IFERROR(FIND(";",$G112)-1,999))),
FIND(" ",TRIM(LEFT($G112,IFERROR(FIND(";",$G112)-1,999))))+1,1),
MID(TRIM(LEFT($G112,IFERROR(FIND(";",$G112)-1,999))),2,1)
)
)&amp;"-"&amp;TEXT($C112,"yyyy-mm-dd"),
"")</f>
        <v/>
      </c>
      <c r="B112" s="25"/>
      <c r="C112" s="34"/>
      <c r="D112" s="38"/>
      <c r="E112" s="38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16" t="str">
        <f>IF($L112&lt;&gt;"","Purpose "&amp;CHAR(10)&amp;$L112&amp;CHAR(10)&amp;CHAR(10),"")&amp;
IF($M112&lt;&gt;"","Stops (in order) "&amp;CHAR(10)&amp;$M112&amp;CHAR(10)&amp;CHAR(10),"")&amp;
IF($N112&lt;&gt;"","To-Do (hard requirements) "&amp;CHAR(10)&amp;$N112&amp;CHAR(10)&amp;CHAR(10),"")&amp;
IF($O112&lt;&gt;"","Suggested Timeline "&amp;CHAR(10)&amp;$O112&amp;CHAR(10)&amp;CHAR(10),"")&amp;
IF($P112&lt;&gt;"","Guardrails "&amp;CHAR(10)&amp;$P112&amp;CHAR(10)&amp;CHAR(10),"")&amp;
IF($Q112&lt;&gt;"","Completion signals "&amp;CHAR(10)&amp;$Q112,"")</f>
        <v/>
      </c>
      <c r="S112" s="25"/>
      <c r="T112" s="25"/>
      <c r="U112" s="8"/>
      <c r="V112" s="8" t="str">
        <f>_xlfn.SINGLE(IF($B112 = "", "", IF(_xlfn.SINGLE(_xlfn.TEXTJOIN(" | ", TRUE, IF($B112 = "", "Missing Title", ""), IF($C112 = "", "Missing Date", ""), IF($D112 = "", "Missing Start", ""), IF($E112 = "", "Missing End", ""), IF($G112 = "", "Missing Required Attendees", ""), IF($T112 = "", "Missing Status", ""), IF(AND($D112 &lt;&gt; "", $E112 &lt;&gt; "", $D112 &gt;= $E112), "Start&gt;=End", ""), IF(OR($R112 = "", LEN($R112) &lt; 60, ISNUMBER(MATCH(TRIM($R112), StatusList, 0))), "Body overwritten/short", ""))) = "", "OK", _xlfn.TEXTJOIN(" | ", TRUE, IF($B112 = "", "Missing Title", ""), IF($C112 = "", "Missing Date", ""), IF($D112 = "", "Missing Start", ""), IF($E112 = "", "Missing End", ""), IF($G112 = "", "Missing Required Attendees", ""), IF($T112 = "", "Missing Status", ""), IF(AND($D112 &lt;&gt; "", $E112 &lt;&gt; "", $D112 &gt;= $E112), "Start&gt;=End", ""), IF(OR($R112 = "", LEN($R112) &lt; 60, ISNUMBER(MATCH(TRIM($R112), StatusList, 0))), "Body overwritten/short", "")))))</f>
        <v/>
      </c>
    </row>
    <row r="113" spans="1:22" ht="15" customHeight="1">
      <c r="A113" s="12" t="str">
        <f>IF(AND($B113&lt;&gt;"",$C113&lt;&gt;"",$D113&lt;&gt;"",$E113&lt;&gt;"",$G113&lt;&gt;""),
UPPER(
LEFT(TRIM(LEFT($G113,IFERROR(FIND(";",$G113)-1,999))),1)&amp;
IFERROR(
MID(TRIM(LEFT($G113,IFERROR(FIND(";",$G113)-1,999))),
FIND(" ",TRIM(LEFT($G113,IFERROR(FIND(";",$G113)-1,999))))+1,1),
MID(TRIM(LEFT($G113,IFERROR(FIND(";",$G113)-1,999))),2,1)
)
)&amp;"-"&amp;TEXT($C113,"yyyy-mm-dd"),
"")</f>
        <v/>
      </c>
      <c r="B113" s="25"/>
      <c r="C113" s="34"/>
      <c r="D113" s="38"/>
      <c r="E113" s="38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16" t="str">
        <f>IF($L113&lt;&gt;"","Purpose "&amp;CHAR(10)&amp;$L113&amp;CHAR(10)&amp;CHAR(10),"")&amp;
IF($M113&lt;&gt;"","Stops (in order) "&amp;CHAR(10)&amp;$M113&amp;CHAR(10)&amp;CHAR(10),"")&amp;
IF($N113&lt;&gt;"","To-Do (hard requirements) "&amp;CHAR(10)&amp;$N113&amp;CHAR(10)&amp;CHAR(10),"")&amp;
IF($O113&lt;&gt;"","Suggested Timeline "&amp;CHAR(10)&amp;$O113&amp;CHAR(10)&amp;CHAR(10),"")&amp;
IF($P113&lt;&gt;"","Guardrails "&amp;CHAR(10)&amp;$P113&amp;CHAR(10)&amp;CHAR(10),"")&amp;
IF($Q113&lt;&gt;"","Completion signals "&amp;CHAR(10)&amp;$Q113,"")</f>
        <v/>
      </c>
      <c r="S113" s="25"/>
      <c r="T113" s="25"/>
      <c r="U113" s="8"/>
      <c r="V113" s="8" t="str">
        <f>_xlfn.SINGLE(IF($B113 = "", "", IF(_xlfn.SINGLE(_xlfn.TEXTJOIN(" | ", TRUE, IF($B113 = "", "Missing Title", ""), IF($C113 = "", "Missing Date", ""), IF($D113 = "", "Missing Start", ""), IF($E113 = "", "Missing End", ""), IF($G113 = "", "Missing Required Attendees", ""), IF($T113 = "", "Missing Status", ""), IF(AND($D113 &lt;&gt; "", $E113 &lt;&gt; "", $D113 &gt;= $E113), "Start&gt;=End", ""), IF(OR($R113 = "", LEN($R113) &lt; 60, ISNUMBER(MATCH(TRIM($R113), StatusList, 0))), "Body overwritten/short", ""))) = "", "OK", _xlfn.TEXTJOIN(" | ", TRUE, IF($B113 = "", "Missing Title", ""), IF($C113 = "", "Missing Date", ""), IF($D113 = "", "Missing Start", ""), IF($E113 = "", "Missing End", ""), IF($G113 = "", "Missing Required Attendees", ""), IF($T113 = "", "Missing Status", ""), IF(AND($D113 &lt;&gt; "", $E113 &lt;&gt; "", $D113 &gt;= $E113), "Start&gt;=End", ""), IF(OR($R113 = "", LEN($R113) &lt; 60, ISNUMBER(MATCH(TRIM($R113), StatusList, 0))), "Body overwritten/short", "")))))</f>
        <v/>
      </c>
    </row>
    <row r="114" spans="1:22" ht="15" customHeight="1">
      <c r="A114" s="12" t="str">
        <f>IF(AND($B114&lt;&gt;"",$C114&lt;&gt;"",$D114&lt;&gt;"",$E114&lt;&gt;"",$G114&lt;&gt;""),
UPPER(
LEFT(TRIM(LEFT($G114,IFERROR(FIND(";",$G114)-1,999))),1)&amp;
IFERROR(
MID(TRIM(LEFT($G114,IFERROR(FIND(";",$G114)-1,999))),
FIND(" ",TRIM(LEFT($G114,IFERROR(FIND(";",$G114)-1,999))))+1,1),
MID(TRIM(LEFT($G114,IFERROR(FIND(";",$G114)-1,999))),2,1)
)
)&amp;"-"&amp;TEXT($C114,"yyyy-mm-dd"),
"")</f>
        <v/>
      </c>
      <c r="B114" s="25"/>
      <c r="C114" s="34"/>
      <c r="D114" s="38"/>
      <c r="E114" s="38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16" t="str">
        <f>IF($L114&lt;&gt;"","Purpose "&amp;CHAR(10)&amp;$L114&amp;CHAR(10)&amp;CHAR(10),"")&amp;
IF($M114&lt;&gt;"","Stops (in order) "&amp;CHAR(10)&amp;$M114&amp;CHAR(10)&amp;CHAR(10),"")&amp;
IF($N114&lt;&gt;"","To-Do (hard requirements) "&amp;CHAR(10)&amp;$N114&amp;CHAR(10)&amp;CHAR(10),"")&amp;
IF($O114&lt;&gt;"","Suggested Timeline "&amp;CHAR(10)&amp;$O114&amp;CHAR(10)&amp;CHAR(10),"")&amp;
IF($P114&lt;&gt;"","Guardrails "&amp;CHAR(10)&amp;$P114&amp;CHAR(10)&amp;CHAR(10),"")&amp;
IF($Q114&lt;&gt;"","Completion signals "&amp;CHAR(10)&amp;$Q114,"")</f>
        <v/>
      </c>
      <c r="S114" s="25"/>
      <c r="T114" s="25"/>
      <c r="U114" s="8"/>
      <c r="V114" s="8" t="str">
        <f>_xlfn.SINGLE(IF($B114 = "", "", IF(_xlfn.SINGLE(_xlfn.TEXTJOIN(" | ", TRUE, IF($B114 = "", "Missing Title", ""), IF($C114 = "", "Missing Date", ""), IF($D114 = "", "Missing Start", ""), IF($E114 = "", "Missing End", ""), IF($G114 = "", "Missing Required Attendees", ""), IF($T114 = "", "Missing Status", ""), IF(AND($D114 &lt;&gt; "", $E114 &lt;&gt; "", $D114 &gt;= $E114), "Start&gt;=End", ""), IF(OR($R114 = "", LEN($R114) &lt; 60, ISNUMBER(MATCH(TRIM($R114), StatusList, 0))), "Body overwritten/short", ""))) = "", "OK", _xlfn.TEXTJOIN(" | ", TRUE, IF($B114 = "", "Missing Title", ""), IF($C114 = "", "Missing Date", ""), IF($D114 = "", "Missing Start", ""), IF($E114 = "", "Missing End", ""), IF($G114 = "", "Missing Required Attendees", ""), IF($T114 = "", "Missing Status", ""), IF(AND($D114 &lt;&gt; "", $E114 &lt;&gt; "", $D114 &gt;= $E114), "Start&gt;=End", ""), IF(OR($R114 = "", LEN($R114) &lt; 60, ISNUMBER(MATCH(TRIM($R114), StatusList, 0))), "Body overwritten/short", "")))))</f>
        <v/>
      </c>
    </row>
    <row r="115" spans="1:22" ht="15" customHeight="1">
      <c r="A115" s="12" t="str">
        <f>IF(AND($B115&lt;&gt;"",$C115&lt;&gt;"",$D115&lt;&gt;"",$E115&lt;&gt;"",$G115&lt;&gt;""),
UPPER(
LEFT(TRIM(LEFT($G115,IFERROR(FIND(";",$G115)-1,999))),1)&amp;
IFERROR(
MID(TRIM(LEFT($G115,IFERROR(FIND(";",$G115)-1,999))),
FIND(" ",TRIM(LEFT($G115,IFERROR(FIND(";",$G115)-1,999))))+1,1),
MID(TRIM(LEFT($G115,IFERROR(FIND(";",$G115)-1,999))),2,1)
)
)&amp;"-"&amp;TEXT($C115,"yyyy-mm-dd"),
"")</f>
        <v/>
      </c>
      <c r="B115" s="25"/>
      <c r="C115" s="34"/>
      <c r="D115" s="38"/>
      <c r="E115" s="38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16" t="str">
        <f>IF($L115&lt;&gt;"","Purpose "&amp;CHAR(10)&amp;$L115&amp;CHAR(10)&amp;CHAR(10),"")&amp;
IF($M115&lt;&gt;"","Stops (in order) "&amp;CHAR(10)&amp;$M115&amp;CHAR(10)&amp;CHAR(10),"")&amp;
IF($N115&lt;&gt;"","To-Do (hard requirements) "&amp;CHAR(10)&amp;$N115&amp;CHAR(10)&amp;CHAR(10),"")&amp;
IF($O115&lt;&gt;"","Suggested Timeline "&amp;CHAR(10)&amp;$O115&amp;CHAR(10)&amp;CHAR(10),"")&amp;
IF($P115&lt;&gt;"","Guardrails "&amp;CHAR(10)&amp;$P115&amp;CHAR(10)&amp;CHAR(10),"")&amp;
IF($Q115&lt;&gt;"","Completion signals "&amp;CHAR(10)&amp;$Q115,"")</f>
        <v/>
      </c>
      <c r="S115" s="25"/>
      <c r="T115" s="25"/>
      <c r="U115" s="8"/>
      <c r="V115" s="8" t="str">
        <f>_xlfn.SINGLE(IF($B115 = "", "", IF(_xlfn.SINGLE(_xlfn.TEXTJOIN(" | ", TRUE, IF($B115 = "", "Missing Title", ""), IF($C115 = "", "Missing Date", ""), IF($D115 = "", "Missing Start", ""), IF($E115 = "", "Missing End", ""), IF($G115 = "", "Missing Required Attendees", ""), IF($T115 = "", "Missing Status", ""), IF(AND($D115 &lt;&gt; "", $E115 &lt;&gt; "", $D115 &gt;= $E115), "Start&gt;=End", ""), IF(OR($R115 = "", LEN($R115) &lt; 60, ISNUMBER(MATCH(TRIM($R115), StatusList, 0))), "Body overwritten/short", ""))) = "", "OK", _xlfn.TEXTJOIN(" | ", TRUE, IF($B115 = "", "Missing Title", ""), IF($C115 = "", "Missing Date", ""), IF($D115 = "", "Missing Start", ""), IF($E115 = "", "Missing End", ""), IF($G115 = "", "Missing Required Attendees", ""), IF($T115 = "", "Missing Status", ""), IF(AND($D115 &lt;&gt; "", $E115 &lt;&gt; "", $D115 &gt;= $E115), "Start&gt;=End", ""), IF(OR($R115 = "", LEN($R115) &lt; 60, ISNUMBER(MATCH(TRIM($R115), StatusList, 0))), "Body overwritten/short", "")))))</f>
        <v/>
      </c>
    </row>
    <row r="116" spans="1:22" ht="15" customHeight="1">
      <c r="A116" s="12" t="str">
        <f>IF(AND($B116&lt;&gt;"",$C116&lt;&gt;"",$D116&lt;&gt;"",$E116&lt;&gt;"",$G116&lt;&gt;""),
UPPER(
LEFT(TRIM(LEFT($G116,IFERROR(FIND(";",$G116)-1,999))),1)&amp;
IFERROR(
MID(TRIM(LEFT($G116,IFERROR(FIND(";",$G116)-1,999))),
FIND(" ",TRIM(LEFT($G116,IFERROR(FIND(";",$G116)-1,999))))+1,1),
MID(TRIM(LEFT($G116,IFERROR(FIND(";",$G116)-1,999))),2,1)
)
)&amp;"-"&amp;TEXT($C116,"yyyy-mm-dd"),
"")</f>
        <v/>
      </c>
      <c r="B116" s="25"/>
      <c r="C116" s="34"/>
      <c r="D116" s="38"/>
      <c r="E116" s="38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16" t="str">
        <f>IF($L116&lt;&gt;"","Purpose "&amp;CHAR(10)&amp;$L116&amp;CHAR(10)&amp;CHAR(10),"")&amp;
IF($M116&lt;&gt;"","Stops (in order) "&amp;CHAR(10)&amp;$M116&amp;CHAR(10)&amp;CHAR(10),"")&amp;
IF($N116&lt;&gt;"","To-Do (hard requirements) "&amp;CHAR(10)&amp;$N116&amp;CHAR(10)&amp;CHAR(10),"")&amp;
IF($O116&lt;&gt;"","Suggested Timeline "&amp;CHAR(10)&amp;$O116&amp;CHAR(10)&amp;CHAR(10),"")&amp;
IF($P116&lt;&gt;"","Guardrails "&amp;CHAR(10)&amp;$P116&amp;CHAR(10)&amp;CHAR(10),"")&amp;
IF($Q116&lt;&gt;"","Completion signals "&amp;CHAR(10)&amp;$Q116,"")</f>
        <v/>
      </c>
      <c r="S116" s="25"/>
      <c r="T116" s="25"/>
      <c r="U116" s="8"/>
      <c r="V116" s="8" t="str">
        <f>_xlfn.SINGLE(IF($B116 = "", "", IF(_xlfn.SINGLE(_xlfn.TEXTJOIN(" | ", TRUE, IF($B116 = "", "Missing Title", ""), IF($C116 = "", "Missing Date", ""), IF($D116 = "", "Missing Start", ""), IF($E116 = "", "Missing End", ""), IF($G116 = "", "Missing Required Attendees", ""), IF($T116 = "", "Missing Status", ""), IF(AND($D116 &lt;&gt; "", $E116 &lt;&gt; "", $D116 &gt;= $E116), "Start&gt;=End", ""), IF(OR($R116 = "", LEN($R116) &lt; 60, ISNUMBER(MATCH(TRIM($R116), StatusList, 0))), "Body overwritten/short", ""))) = "", "OK", _xlfn.TEXTJOIN(" | ", TRUE, IF($B116 = "", "Missing Title", ""), IF($C116 = "", "Missing Date", ""), IF($D116 = "", "Missing Start", ""), IF($E116 = "", "Missing End", ""), IF($G116 = "", "Missing Required Attendees", ""), IF($T116 = "", "Missing Status", ""), IF(AND($D116 &lt;&gt; "", $E116 &lt;&gt; "", $D116 &gt;= $E116), "Start&gt;=End", ""), IF(OR($R116 = "", LEN($R116) &lt; 60, ISNUMBER(MATCH(TRIM($R116), StatusList, 0))), "Body overwritten/short", "")))))</f>
        <v/>
      </c>
    </row>
    <row r="117" spans="1:22" ht="15" customHeight="1">
      <c r="A117" s="12" t="str">
        <f>IF(AND($B117&lt;&gt;"",$C117&lt;&gt;"",$D117&lt;&gt;"",$E117&lt;&gt;"",$G117&lt;&gt;""),
UPPER(
LEFT(TRIM(LEFT($G117,IFERROR(FIND(";",$G117)-1,999))),1)&amp;
IFERROR(
MID(TRIM(LEFT($G117,IFERROR(FIND(";",$G117)-1,999))),
FIND(" ",TRIM(LEFT($G117,IFERROR(FIND(";",$G117)-1,999))))+1,1),
MID(TRIM(LEFT($G117,IFERROR(FIND(";",$G117)-1,999))),2,1)
)
)&amp;"-"&amp;TEXT($C117,"yyyy-mm-dd"),
"")</f>
        <v/>
      </c>
      <c r="B117" s="25"/>
      <c r="C117" s="34"/>
      <c r="D117" s="38"/>
      <c r="E117" s="38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16" t="str">
        <f>IF($L117&lt;&gt;"","Purpose "&amp;CHAR(10)&amp;$L117&amp;CHAR(10)&amp;CHAR(10),"")&amp;
IF($M117&lt;&gt;"","Stops (in order) "&amp;CHAR(10)&amp;$M117&amp;CHAR(10)&amp;CHAR(10),"")&amp;
IF($N117&lt;&gt;"","To-Do (hard requirements) "&amp;CHAR(10)&amp;$N117&amp;CHAR(10)&amp;CHAR(10),"")&amp;
IF($O117&lt;&gt;"","Suggested Timeline "&amp;CHAR(10)&amp;$O117&amp;CHAR(10)&amp;CHAR(10),"")&amp;
IF($P117&lt;&gt;"","Guardrails "&amp;CHAR(10)&amp;$P117&amp;CHAR(10)&amp;CHAR(10),"")&amp;
IF($Q117&lt;&gt;"","Completion signals "&amp;CHAR(10)&amp;$Q117,"")</f>
        <v/>
      </c>
      <c r="S117" s="25"/>
      <c r="T117" s="25"/>
      <c r="U117" s="8"/>
      <c r="V117" s="8" t="str">
        <f>_xlfn.SINGLE(IF($B117 = "", "", IF(_xlfn.SINGLE(_xlfn.TEXTJOIN(" | ", TRUE, IF($B117 = "", "Missing Title", ""), IF($C117 = "", "Missing Date", ""), IF($D117 = "", "Missing Start", ""), IF($E117 = "", "Missing End", ""), IF($G117 = "", "Missing Required Attendees", ""), IF($T117 = "", "Missing Status", ""), IF(AND($D117 &lt;&gt; "", $E117 &lt;&gt; "", $D117 &gt;= $E117), "Start&gt;=End", ""), IF(OR($R117 = "", LEN($R117) &lt; 60, ISNUMBER(MATCH(TRIM($R117), StatusList, 0))), "Body overwritten/short", ""))) = "", "OK", _xlfn.TEXTJOIN(" | ", TRUE, IF($B117 = "", "Missing Title", ""), IF($C117 = "", "Missing Date", ""), IF($D117 = "", "Missing Start", ""), IF($E117 = "", "Missing End", ""), IF($G117 = "", "Missing Required Attendees", ""), IF($T117 = "", "Missing Status", ""), IF(AND($D117 &lt;&gt; "", $E117 &lt;&gt; "", $D117 &gt;= $E117), "Start&gt;=End", ""), IF(OR($R117 = "", LEN($R117) &lt; 60, ISNUMBER(MATCH(TRIM($R117), StatusList, 0))), "Body overwritten/short", "")))))</f>
        <v/>
      </c>
    </row>
    <row r="118" spans="1:22" ht="15" customHeight="1">
      <c r="A118" s="12" t="str">
        <f>IF(AND($B118&lt;&gt;"",$C118&lt;&gt;"",$D118&lt;&gt;"",$E118&lt;&gt;"",$G118&lt;&gt;""),
UPPER(
LEFT(TRIM(LEFT($G118,IFERROR(FIND(";",$G118)-1,999))),1)&amp;
IFERROR(
MID(TRIM(LEFT($G118,IFERROR(FIND(";",$G118)-1,999))),
FIND(" ",TRIM(LEFT($G118,IFERROR(FIND(";",$G118)-1,999))))+1,1),
MID(TRIM(LEFT($G118,IFERROR(FIND(";",$G118)-1,999))),2,1)
)
)&amp;"-"&amp;TEXT($C118,"yyyy-mm-dd"),
"")</f>
        <v/>
      </c>
      <c r="B118" s="25"/>
      <c r="C118" s="34"/>
      <c r="D118" s="38"/>
      <c r="E118" s="38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16" t="str">
        <f>IF($L118&lt;&gt;"","Purpose "&amp;CHAR(10)&amp;$L118&amp;CHAR(10)&amp;CHAR(10),"")&amp;
IF($M118&lt;&gt;"","Stops (in order) "&amp;CHAR(10)&amp;$M118&amp;CHAR(10)&amp;CHAR(10),"")&amp;
IF($N118&lt;&gt;"","To-Do (hard requirements) "&amp;CHAR(10)&amp;$N118&amp;CHAR(10)&amp;CHAR(10),"")&amp;
IF($O118&lt;&gt;"","Suggested Timeline "&amp;CHAR(10)&amp;$O118&amp;CHAR(10)&amp;CHAR(10),"")&amp;
IF($P118&lt;&gt;"","Guardrails "&amp;CHAR(10)&amp;$P118&amp;CHAR(10)&amp;CHAR(10),"")&amp;
IF($Q118&lt;&gt;"","Completion signals "&amp;CHAR(10)&amp;$Q118,"")</f>
        <v/>
      </c>
      <c r="S118" s="25"/>
      <c r="T118" s="25"/>
      <c r="U118" s="8"/>
      <c r="V118" s="8" t="str">
        <f>_xlfn.SINGLE(IF($B118 = "", "", IF(_xlfn.SINGLE(_xlfn.TEXTJOIN(" | ", TRUE, IF($B118 = "", "Missing Title", ""), IF($C118 = "", "Missing Date", ""), IF($D118 = "", "Missing Start", ""), IF($E118 = "", "Missing End", ""), IF($G118 = "", "Missing Required Attendees", ""), IF($T118 = "", "Missing Status", ""), IF(AND($D118 &lt;&gt; "", $E118 &lt;&gt; "", $D118 &gt;= $E118), "Start&gt;=End", ""), IF(OR($R118 = "", LEN($R118) &lt; 60, ISNUMBER(MATCH(TRIM($R118), StatusList, 0))), "Body overwritten/short", ""))) = "", "OK", _xlfn.TEXTJOIN(" | ", TRUE, IF($B118 = "", "Missing Title", ""), IF($C118 = "", "Missing Date", ""), IF($D118 = "", "Missing Start", ""), IF($E118 = "", "Missing End", ""), IF($G118 = "", "Missing Required Attendees", ""), IF($T118 = "", "Missing Status", ""), IF(AND($D118 &lt;&gt; "", $E118 &lt;&gt; "", $D118 &gt;= $E118), "Start&gt;=End", ""), IF(OR($R118 = "", LEN($R118) &lt; 60, ISNUMBER(MATCH(TRIM($R118), StatusList, 0))), "Body overwritten/short", "")))))</f>
        <v/>
      </c>
    </row>
    <row r="119" spans="1:22" ht="15" customHeight="1">
      <c r="A119" s="12" t="str">
        <f>IF(AND($B119&lt;&gt;"",$C119&lt;&gt;"",$D119&lt;&gt;"",$E119&lt;&gt;"",$G119&lt;&gt;""),
UPPER(
LEFT(TRIM(LEFT($G119,IFERROR(FIND(";",$G119)-1,999))),1)&amp;
IFERROR(
MID(TRIM(LEFT($G119,IFERROR(FIND(";",$G119)-1,999))),
FIND(" ",TRIM(LEFT($G119,IFERROR(FIND(";",$G119)-1,999))))+1,1),
MID(TRIM(LEFT($G119,IFERROR(FIND(";",$G119)-1,999))),2,1)
)
)&amp;"-"&amp;TEXT($C119,"yyyy-mm-dd"),
"")</f>
        <v/>
      </c>
      <c r="B119" s="25"/>
      <c r="C119" s="34"/>
      <c r="D119" s="38"/>
      <c r="E119" s="38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16" t="str">
        <f>IF($L119&lt;&gt;"","Purpose "&amp;CHAR(10)&amp;$L119&amp;CHAR(10)&amp;CHAR(10),"")&amp;
IF($M119&lt;&gt;"","Stops (in order) "&amp;CHAR(10)&amp;$M119&amp;CHAR(10)&amp;CHAR(10),"")&amp;
IF($N119&lt;&gt;"","To-Do (hard requirements) "&amp;CHAR(10)&amp;$N119&amp;CHAR(10)&amp;CHAR(10),"")&amp;
IF($O119&lt;&gt;"","Suggested Timeline "&amp;CHAR(10)&amp;$O119&amp;CHAR(10)&amp;CHAR(10),"")&amp;
IF($P119&lt;&gt;"","Guardrails "&amp;CHAR(10)&amp;$P119&amp;CHAR(10)&amp;CHAR(10),"")&amp;
IF($Q119&lt;&gt;"","Completion signals "&amp;CHAR(10)&amp;$Q119,"")</f>
        <v/>
      </c>
      <c r="S119" s="25"/>
      <c r="T119" s="25"/>
      <c r="U119" s="8"/>
      <c r="V119" s="8" t="str">
        <f>_xlfn.SINGLE(IF($B119 = "", "", IF(_xlfn.SINGLE(_xlfn.TEXTJOIN(" | ", TRUE, IF($B119 = "", "Missing Title", ""), IF($C119 = "", "Missing Date", ""), IF($D119 = "", "Missing Start", ""), IF($E119 = "", "Missing End", ""), IF($G119 = "", "Missing Required Attendees", ""), IF($T119 = "", "Missing Status", ""), IF(AND($D119 &lt;&gt; "", $E119 &lt;&gt; "", $D119 &gt;= $E119), "Start&gt;=End", ""), IF(OR($R119 = "", LEN($R119) &lt; 60, ISNUMBER(MATCH(TRIM($R119), StatusList, 0))), "Body overwritten/short", ""))) = "", "OK", _xlfn.TEXTJOIN(" | ", TRUE, IF($B119 = "", "Missing Title", ""), IF($C119 = "", "Missing Date", ""), IF($D119 = "", "Missing Start", ""), IF($E119 = "", "Missing End", ""), IF($G119 = "", "Missing Required Attendees", ""), IF($T119 = "", "Missing Status", ""), IF(AND($D119 &lt;&gt; "", $E119 &lt;&gt; "", $D119 &gt;= $E119), "Start&gt;=End", ""), IF(OR($R119 = "", LEN($R119) &lt; 60, ISNUMBER(MATCH(TRIM($R119), StatusList, 0))), "Body overwritten/short", "")))))</f>
        <v/>
      </c>
    </row>
    <row r="120" spans="1:22" ht="15" customHeight="1">
      <c r="A120" s="12" t="str">
        <f>IF(AND($B120&lt;&gt;"",$C120&lt;&gt;"",$D120&lt;&gt;"",$E120&lt;&gt;"",$G120&lt;&gt;""),
UPPER(
LEFT(TRIM(LEFT($G120,IFERROR(FIND(";",$G120)-1,999))),1)&amp;
IFERROR(
MID(TRIM(LEFT($G120,IFERROR(FIND(";",$G120)-1,999))),
FIND(" ",TRIM(LEFT($G120,IFERROR(FIND(";",$G120)-1,999))))+1,1),
MID(TRIM(LEFT($G120,IFERROR(FIND(";",$G120)-1,999))),2,1)
)
)&amp;"-"&amp;TEXT($C120,"yyyy-mm-dd"),
"")</f>
        <v/>
      </c>
      <c r="B120" s="25"/>
      <c r="C120" s="34"/>
      <c r="D120" s="38"/>
      <c r="E120" s="38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16" t="str">
        <f>IF($L120&lt;&gt;"","Purpose "&amp;CHAR(10)&amp;$L120&amp;CHAR(10)&amp;CHAR(10),"")&amp;
IF($M120&lt;&gt;"","Stops (in order) "&amp;CHAR(10)&amp;$M120&amp;CHAR(10)&amp;CHAR(10),"")&amp;
IF($N120&lt;&gt;"","To-Do (hard requirements) "&amp;CHAR(10)&amp;$N120&amp;CHAR(10)&amp;CHAR(10),"")&amp;
IF($O120&lt;&gt;"","Suggested Timeline "&amp;CHAR(10)&amp;$O120&amp;CHAR(10)&amp;CHAR(10),"")&amp;
IF($P120&lt;&gt;"","Guardrails "&amp;CHAR(10)&amp;$P120&amp;CHAR(10)&amp;CHAR(10),"")&amp;
IF($Q120&lt;&gt;"","Completion signals "&amp;CHAR(10)&amp;$Q120,"")</f>
        <v/>
      </c>
      <c r="S120" s="25"/>
      <c r="T120" s="25"/>
      <c r="U120" s="8"/>
      <c r="V120" s="8" t="str">
        <f>_xlfn.SINGLE(IF($B120 = "", "", IF(_xlfn.SINGLE(_xlfn.TEXTJOIN(" | ", TRUE, IF($B120 = "", "Missing Title", ""), IF($C120 = "", "Missing Date", ""), IF($D120 = "", "Missing Start", ""), IF($E120 = "", "Missing End", ""), IF($G120 = "", "Missing Required Attendees", ""), IF($T120 = "", "Missing Status", ""), IF(AND($D120 &lt;&gt; "", $E120 &lt;&gt; "", $D120 &gt;= $E120), "Start&gt;=End", ""), IF(OR($R120 = "", LEN($R120) &lt; 60, ISNUMBER(MATCH(TRIM($R120), StatusList, 0))), "Body overwritten/short", ""))) = "", "OK", _xlfn.TEXTJOIN(" | ", TRUE, IF($B120 = "", "Missing Title", ""), IF($C120 = "", "Missing Date", ""), IF($D120 = "", "Missing Start", ""), IF($E120 = "", "Missing End", ""), IF($G120 = "", "Missing Required Attendees", ""), IF($T120 = "", "Missing Status", ""), IF(AND($D120 &lt;&gt; "", $E120 &lt;&gt; "", $D120 &gt;= $E120), "Start&gt;=End", ""), IF(OR($R120 = "", LEN($R120) &lt; 60, ISNUMBER(MATCH(TRIM($R120), StatusList, 0))), "Body overwritten/short", "")))))</f>
        <v/>
      </c>
    </row>
    <row r="121" spans="1:22" ht="15" customHeight="1">
      <c r="A121" s="12" t="str">
        <f>IF(AND($B121&lt;&gt;"",$C121&lt;&gt;"",$D121&lt;&gt;"",$E121&lt;&gt;"",$G121&lt;&gt;""),
UPPER(
LEFT(TRIM(LEFT($G121,IFERROR(FIND(";",$G121)-1,999))),1)&amp;
IFERROR(
MID(TRIM(LEFT($G121,IFERROR(FIND(";",$G121)-1,999))),
FIND(" ",TRIM(LEFT($G121,IFERROR(FIND(";",$G121)-1,999))))+1,1),
MID(TRIM(LEFT($G121,IFERROR(FIND(";",$G121)-1,999))),2,1)
)
)&amp;"-"&amp;TEXT($C121,"yyyy-mm-dd"),
"")</f>
        <v/>
      </c>
      <c r="B121" s="25"/>
      <c r="C121" s="34"/>
      <c r="D121" s="38"/>
      <c r="E121" s="38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16" t="str">
        <f>IF($L121&lt;&gt;"","Purpose "&amp;CHAR(10)&amp;$L121&amp;CHAR(10)&amp;CHAR(10),"")&amp;
IF($M121&lt;&gt;"","Stops (in order) "&amp;CHAR(10)&amp;$M121&amp;CHAR(10)&amp;CHAR(10),"")&amp;
IF($N121&lt;&gt;"","To-Do (hard requirements) "&amp;CHAR(10)&amp;$N121&amp;CHAR(10)&amp;CHAR(10),"")&amp;
IF($O121&lt;&gt;"","Suggested Timeline "&amp;CHAR(10)&amp;$O121&amp;CHAR(10)&amp;CHAR(10),"")&amp;
IF($P121&lt;&gt;"","Guardrails "&amp;CHAR(10)&amp;$P121&amp;CHAR(10)&amp;CHAR(10),"")&amp;
IF($Q121&lt;&gt;"","Completion signals "&amp;CHAR(10)&amp;$Q121,"")</f>
        <v/>
      </c>
      <c r="S121" s="25"/>
      <c r="T121" s="25"/>
      <c r="U121" s="8"/>
      <c r="V121" s="8" t="str">
        <f>_xlfn.SINGLE(IF($B121 = "", "", IF(_xlfn.SINGLE(_xlfn.TEXTJOIN(" | ", TRUE, IF($B121 = "", "Missing Title", ""), IF($C121 = "", "Missing Date", ""), IF($D121 = "", "Missing Start", ""), IF($E121 = "", "Missing End", ""), IF($G121 = "", "Missing Required Attendees", ""), IF($T121 = "", "Missing Status", ""), IF(AND($D121 &lt;&gt; "", $E121 &lt;&gt; "", $D121 &gt;= $E121), "Start&gt;=End", ""), IF(OR($R121 = "", LEN($R121) &lt; 60, ISNUMBER(MATCH(TRIM($R121), StatusList, 0))), "Body overwritten/short", ""))) = "", "OK", _xlfn.TEXTJOIN(" | ", TRUE, IF($B121 = "", "Missing Title", ""), IF($C121 = "", "Missing Date", ""), IF($D121 = "", "Missing Start", ""), IF($E121 = "", "Missing End", ""), IF($G121 = "", "Missing Required Attendees", ""), IF($T121 = "", "Missing Status", ""), IF(AND($D121 &lt;&gt; "", $E121 &lt;&gt; "", $D121 &gt;= $E121), "Start&gt;=End", ""), IF(OR($R121 = "", LEN($R121) &lt; 60, ISNUMBER(MATCH(TRIM($R121), StatusList, 0))), "Body overwritten/short", "")))))</f>
        <v/>
      </c>
    </row>
    <row r="122" spans="1:22" ht="15" customHeight="1">
      <c r="A122" s="12" t="str">
        <f>IF(AND($B122&lt;&gt;"",$C122&lt;&gt;"",$D122&lt;&gt;"",$E122&lt;&gt;"",$G122&lt;&gt;""),
UPPER(
LEFT(TRIM(LEFT($G122,IFERROR(FIND(";",$G122)-1,999))),1)&amp;
IFERROR(
MID(TRIM(LEFT($G122,IFERROR(FIND(";",$G122)-1,999))),
FIND(" ",TRIM(LEFT($G122,IFERROR(FIND(";",$G122)-1,999))))+1,1),
MID(TRIM(LEFT($G122,IFERROR(FIND(";",$G122)-1,999))),2,1)
)
)&amp;"-"&amp;TEXT($C122,"yyyy-mm-dd"),
"")</f>
        <v/>
      </c>
      <c r="B122" s="25"/>
      <c r="C122" s="34"/>
      <c r="D122" s="38"/>
      <c r="E122" s="38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16" t="str">
        <f>IF($L122&lt;&gt;"","Purpose "&amp;CHAR(10)&amp;$L122&amp;CHAR(10)&amp;CHAR(10),"")&amp;
IF($M122&lt;&gt;"","Stops (in order) "&amp;CHAR(10)&amp;$M122&amp;CHAR(10)&amp;CHAR(10),"")&amp;
IF($N122&lt;&gt;"","To-Do (hard requirements) "&amp;CHAR(10)&amp;$N122&amp;CHAR(10)&amp;CHAR(10),"")&amp;
IF($O122&lt;&gt;"","Suggested Timeline "&amp;CHAR(10)&amp;$O122&amp;CHAR(10)&amp;CHAR(10),"")&amp;
IF($P122&lt;&gt;"","Guardrails "&amp;CHAR(10)&amp;$P122&amp;CHAR(10)&amp;CHAR(10),"")&amp;
IF($Q122&lt;&gt;"","Completion signals "&amp;CHAR(10)&amp;$Q122,"")</f>
        <v/>
      </c>
      <c r="S122" s="25"/>
      <c r="T122" s="25"/>
      <c r="U122" s="8"/>
      <c r="V122" s="8" t="str">
        <f>_xlfn.SINGLE(IF($B122 = "", "", IF(_xlfn.SINGLE(_xlfn.TEXTJOIN(" | ", TRUE, IF($B122 = "", "Missing Title", ""), IF($C122 = "", "Missing Date", ""), IF($D122 = "", "Missing Start", ""), IF($E122 = "", "Missing End", ""), IF($G122 = "", "Missing Required Attendees", ""), IF($T122 = "", "Missing Status", ""), IF(AND($D122 &lt;&gt; "", $E122 &lt;&gt; "", $D122 &gt;= $E122), "Start&gt;=End", ""), IF(OR($R122 = "", LEN($R122) &lt; 60, ISNUMBER(MATCH(TRIM($R122), StatusList, 0))), "Body overwritten/short", ""))) = "", "OK", _xlfn.TEXTJOIN(" | ", TRUE, IF($B122 = "", "Missing Title", ""), IF($C122 = "", "Missing Date", ""), IF($D122 = "", "Missing Start", ""), IF($E122 = "", "Missing End", ""), IF($G122 = "", "Missing Required Attendees", ""), IF($T122 = "", "Missing Status", ""), IF(AND($D122 &lt;&gt; "", $E122 &lt;&gt; "", $D122 &gt;= $E122), "Start&gt;=End", ""), IF(OR($R122 = "", LEN($R122) &lt; 60, ISNUMBER(MATCH(TRIM($R122), StatusList, 0))), "Body overwritten/short", "")))))</f>
        <v/>
      </c>
    </row>
    <row r="123" spans="1:22" ht="15" customHeight="1">
      <c r="A123" s="12" t="str">
        <f>IF(AND($B123&lt;&gt;"",$C123&lt;&gt;"",$D123&lt;&gt;"",$E123&lt;&gt;"",$G123&lt;&gt;""),
UPPER(
LEFT(TRIM(LEFT($G123,IFERROR(FIND(";",$G123)-1,999))),1)&amp;
IFERROR(
MID(TRIM(LEFT($G123,IFERROR(FIND(";",$G123)-1,999))),
FIND(" ",TRIM(LEFT($G123,IFERROR(FIND(";",$G123)-1,999))))+1,1),
MID(TRIM(LEFT($G123,IFERROR(FIND(";",$G123)-1,999))),2,1)
)
)&amp;"-"&amp;TEXT($C123,"yyyy-mm-dd"),
"")</f>
        <v/>
      </c>
      <c r="B123" s="25"/>
      <c r="C123" s="34"/>
      <c r="D123" s="38"/>
      <c r="E123" s="38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16" t="str">
        <f>IF($L123&lt;&gt;"","Purpose "&amp;CHAR(10)&amp;$L123&amp;CHAR(10)&amp;CHAR(10),"")&amp;
IF($M123&lt;&gt;"","Stops (in order) "&amp;CHAR(10)&amp;$M123&amp;CHAR(10)&amp;CHAR(10),"")&amp;
IF($N123&lt;&gt;"","To-Do (hard requirements) "&amp;CHAR(10)&amp;$N123&amp;CHAR(10)&amp;CHAR(10),"")&amp;
IF($O123&lt;&gt;"","Suggested Timeline "&amp;CHAR(10)&amp;$O123&amp;CHAR(10)&amp;CHAR(10),"")&amp;
IF($P123&lt;&gt;"","Guardrails "&amp;CHAR(10)&amp;$P123&amp;CHAR(10)&amp;CHAR(10),"")&amp;
IF($Q123&lt;&gt;"","Completion signals "&amp;CHAR(10)&amp;$Q123,"")</f>
        <v/>
      </c>
      <c r="S123" s="25"/>
      <c r="T123" s="25"/>
      <c r="U123" s="8"/>
      <c r="V123" s="8" t="str">
        <f>_xlfn.SINGLE(IF($B123 = "", "", IF(_xlfn.SINGLE(_xlfn.TEXTJOIN(" | ", TRUE, IF($B123 = "", "Missing Title", ""), IF($C123 = "", "Missing Date", ""), IF($D123 = "", "Missing Start", ""), IF($E123 = "", "Missing End", ""), IF($G123 = "", "Missing Required Attendees", ""), IF($T123 = "", "Missing Status", ""), IF(AND($D123 &lt;&gt; "", $E123 &lt;&gt; "", $D123 &gt;= $E123), "Start&gt;=End", ""), IF(OR($R123 = "", LEN($R123) &lt; 60, ISNUMBER(MATCH(TRIM($R123), StatusList, 0))), "Body overwritten/short", ""))) = "", "OK", _xlfn.TEXTJOIN(" | ", TRUE, IF($B123 = "", "Missing Title", ""), IF($C123 = "", "Missing Date", ""), IF($D123 = "", "Missing Start", ""), IF($E123 = "", "Missing End", ""), IF($G123 = "", "Missing Required Attendees", ""), IF($T123 = "", "Missing Status", ""), IF(AND($D123 &lt;&gt; "", $E123 &lt;&gt; "", $D123 &gt;= $E123), "Start&gt;=End", ""), IF(OR($R123 = "", LEN($R123) &lt; 60, ISNUMBER(MATCH(TRIM($R123), StatusList, 0))), "Body overwritten/short", "")))))</f>
        <v/>
      </c>
    </row>
    <row r="124" spans="1:22" ht="15" customHeight="1">
      <c r="A124" s="12" t="str">
        <f>IF(AND($B124&lt;&gt;"",$C124&lt;&gt;"",$D124&lt;&gt;"",$E124&lt;&gt;"",$G124&lt;&gt;""),
UPPER(
LEFT(TRIM(LEFT($G124,IFERROR(FIND(";",$G124)-1,999))),1)&amp;
IFERROR(
MID(TRIM(LEFT($G124,IFERROR(FIND(";",$G124)-1,999))),
FIND(" ",TRIM(LEFT($G124,IFERROR(FIND(";",$G124)-1,999))))+1,1),
MID(TRIM(LEFT($G124,IFERROR(FIND(";",$G124)-1,999))),2,1)
)
)&amp;"-"&amp;TEXT($C124,"yyyy-mm-dd"),
"")</f>
        <v/>
      </c>
      <c r="B124" s="25"/>
      <c r="C124" s="34"/>
      <c r="D124" s="38"/>
      <c r="E124" s="38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6" t="str">
        <f>IF($L124&lt;&gt;"","Purpose "&amp;CHAR(10)&amp;$L124&amp;CHAR(10)&amp;CHAR(10),"")&amp;
IF($M124&lt;&gt;"","Stops (in order) "&amp;CHAR(10)&amp;$M124&amp;CHAR(10)&amp;CHAR(10),"")&amp;
IF($N124&lt;&gt;"","To-Do (hard requirements) "&amp;CHAR(10)&amp;$N124&amp;CHAR(10)&amp;CHAR(10),"")&amp;
IF($O124&lt;&gt;"","Suggested Timeline "&amp;CHAR(10)&amp;$O124&amp;CHAR(10)&amp;CHAR(10),"")&amp;
IF($P124&lt;&gt;"","Guardrails "&amp;CHAR(10)&amp;$P124&amp;CHAR(10)&amp;CHAR(10),"")&amp;
IF($Q124&lt;&gt;"","Completion signals "&amp;CHAR(10)&amp;$Q124,"")</f>
        <v/>
      </c>
      <c r="S124" s="25"/>
      <c r="T124" s="25"/>
      <c r="U124" s="8"/>
      <c r="V124" s="8" t="str">
        <f>_xlfn.SINGLE(IF($B124 = "", "", IF(_xlfn.SINGLE(_xlfn.TEXTJOIN(" | ", TRUE, IF($B124 = "", "Missing Title", ""), IF($C124 = "", "Missing Date", ""), IF($D124 = "", "Missing Start", ""), IF($E124 = "", "Missing End", ""), IF($G124 = "", "Missing Required Attendees", ""), IF($T124 = "", "Missing Status", ""), IF(AND($D124 &lt;&gt; "", $E124 &lt;&gt; "", $D124 &gt;= $E124), "Start&gt;=End", ""), IF(OR($R124 = "", LEN($R124) &lt; 60, ISNUMBER(MATCH(TRIM($R124), StatusList, 0))), "Body overwritten/short", ""))) = "", "OK", _xlfn.TEXTJOIN(" | ", TRUE, IF($B124 = "", "Missing Title", ""), IF($C124 = "", "Missing Date", ""), IF($D124 = "", "Missing Start", ""), IF($E124 = "", "Missing End", ""), IF($G124 = "", "Missing Required Attendees", ""), IF($T124 = "", "Missing Status", ""), IF(AND($D124 &lt;&gt; "", $E124 &lt;&gt; "", $D124 &gt;= $E124), "Start&gt;=End", ""), IF(OR($R124 = "", LEN($R124) &lt; 60, ISNUMBER(MATCH(TRIM($R124), StatusList, 0))), "Body overwritten/short", "")))))</f>
        <v/>
      </c>
    </row>
    <row r="125" spans="1:22" ht="15" customHeight="1">
      <c r="A125" s="12" t="str">
        <f>IF(AND($B125&lt;&gt;"",$C125&lt;&gt;"",$D125&lt;&gt;"",$E125&lt;&gt;"",$G125&lt;&gt;""),
UPPER(
LEFT(TRIM(LEFT($G125,IFERROR(FIND(";",$G125)-1,999))),1)&amp;
IFERROR(
MID(TRIM(LEFT($G125,IFERROR(FIND(";",$G125)-1,999))),
FIND(" ",TRIM(LEFT($G125,IFERROR(FIND(";",$G125)-1,999))))+1,1),
MID(TRIM(LEFT($G125,IFERROR(FIND(";",$G125)-1,999))),2,1)
)
)&amp;"-"&amp;TEXT($C125,"yyyy-mm-dd"),
"")</f>
        <v/>
      </c>
      <c r="B125" s="25"/>
      <c r="C125" s="34"/>
      <c r="D125" s="38"/>
      <c r="E125" s="38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6" t="str">
        <f>IF($L125&lt;&gt;"","Purpose "&amp;CHAR(10)&amp;$L125&amp;CHAR(10)&amp;CHAR(10),"")&amp;
IF($M125&lt;&gt;"","Stops (in order) "&amp;CHAR(10)&amp;$M125&amp;CHAR(10)&amp;CHAR(10),"")&amp;
IF($N125&lt;&gt;"","To-Do (hard requirements) "&amp;CHAR(10)&amp;$N125&amp;CHAR(10)&amp;CHAR(10),"")&amp;
IF($O125&lt;&gt;"","Suggested Timeline "&amp;CHAR(10)&amp;$O125&amp;CHAR(10)&amp;CHAR(10),"")&amp;
IF($P125&lt;&gt;"","Guardrails "&amp;CHAR(10)&amp;$P125&amp;CHAR(10)&amp;CHAR(10),"")&amp;
IF($Q125&lt;&gt;"","Completion signals "&amp;CHAR(10)&amp;$Q125,"")</f>
        <v/>
      </c>
      <c r="S125" s="25"/>
      <c r="T125" s="25"/>
      <c r="U125" s="8"/>
      <c r="V125" s="8" t="str">
        <f>_xlfn.SINGLE(IF($B125 = "", "", IF(_xlfn.SINGLE(_xlfn.TEXTJOIN(" | ", TRUE, IF($B125 = "", "Missing Title", ""), IF($C125 = "", "Missing Date", ""), IF($D125 = "", "Missing Start", ""), IF($E125 = "", "Missing End", ""), IF($G125 = "", "Missing Required Attendees", ""), IF($T125 = "", "Missing Status", ""), IF(AND($D125 &lt;&gt; "", $E125 &lt;&gt; "", $D125 &gt;= $E125), "Start&gt;=End", ""), IF(OR($R125 = "", LEN($R125) &lt; 60, ISNUMBER(MATCH(TRIM($R125), StatusList, 0))), "Body overwritten/short", ""))) = "", "OK", _xlfn.TEXTJOIN(" | ", TRUE, IF($B125 = "", "Missing Title", ""), IF($C125 = "", "Missing Date", ""), IF($D125 = "", "Missing Start", ""), IF($E125 = "", "Missing End", ""), IF($G125 = "", "Missing Required Attendees", ""), IF($T125 = "", "Missing Status", ""), IF(AND($D125 &lt;&gt; "", $E125 &lt;&gt; "", $D125 &gt;= $E125), "Start&gt;=End", ""), IF(OR($R125 = "", LEN($R125) &lt; 60, ISNUMBER(MATCH(TRIM($R125), StatusList, 0))), "Body overwritten/short", "")))))</f>
        <v/>
      </c>
    </row>
    <row r="126" spans="1:22" ht="15" customHeight="1">
      <c r="A126" s="12" t="str">
        <f>IF(AND($B126&lt;&gt;"",$C126&lt;&gt;"",$D126&lt;&gt;"",$E126&lt;&gt;"",$G126&lt;&gt;""),
UPPER(
LEFT(TRIM(LEFT($G126,IFERROR(FIND(";",$G126)-1,999))),1)&amp;
IFERROR(
MID(TRIM(LEFT($G126,IFERROR(FIND(";",$G126)-1,999))),
FIND(" ",TRIM(LEFT($G126,IFERROR(FIND(";",$G126)-1,999))))+1,1),
MID(TRIM(LEFT($G126,IFERROR(FIND(";",$G126)-1,999))),2,1)
)
)&amp;"-"&amp;TEXT($C126,"yyyy-mm-dd"),
"")</f>
        <v/>
      </c>
      <c r="B126" s="25"/>
      <c r="C126" s="34"/>
      <c r="D126" s="38"/>
      <c r="E126" s="38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16" t="str">
        <f>IF($L126&lt;&gt;"","Purpose "&amp;CHAR(10)&amp;$L126&amp;CHAR(10)&amp;CHAR(10),"")&amp;
IF($M126&lt;&gt;"","Stops (in order) "&amp;CHAR(10)&amp;$M126&amp;CHAR(10)&amp;CHAR(10),"")&amp;
IF($N126&lt;&gt;"","To-Do (hard requirements) "&amp;CHAR(10)&amp;$N126&amp;CHAR(10)&amp;CHAR(10),"")&amp;
IF($O126&lt;&gt;"","Suggested Timeline "&amp;CHAR(10)&amp;$O126&amp;CHAR(10)&amp;CHAR(10),"")&amp;
IF($P126&lt;&gt;"","Guardrails "&amp;CHAR(10)&amp;$P126&amp;CHAR(10)&amp;CHAR(10),"")&amp;
IF($Q126&lt;&gt;"","Completion signals "&amp;CHAR(10)&amp;$Q126,"")</f>
        <v/>
      </c>
      <c r="S126" s="25"/>
      <c r="T126" s="25"/>
      <c r="U126" s="8"/>
      <c r="V126" s="8" t="str">
        <f>_xlfn.SINGLE(IF($B126 = "", "", IF(_xlfn.SINGLE(_xlfn.TEXTJOIN(" | ", TRUE, IF($B126 = "", "Missing Title", ""), IF($C126 = "", "Missing Date", ""), IF($D126 = "", "Missing Start", ""), IF($E126 = "", "Missing End", ""), IF($G126 = "", "Missing Required Attendees", ""), IF($T126 = "", "Missing Status", ""), IF(AND($D126 &lt;&gt; "", $E126 &lt;&gt; "", $D126 &gt;= $E126), "Start&gt;=End", ""), IF(OR($R126 = "", LEN($R126) &lt; 60, ISNUMBER(MATCH(TRIM($R126), StatusList, 0))), "Body overwritten/short", ""))) = "", "OK", _xlfn.TEXTJOIN(" | ", TRUE, IF($B126 = "", "Missing Title", ""), IF($C126 = "", "Missing Date", ""), IF($D126 = "", "Missing Start", ""), IF($E126 = "", "Missing End", ""), IF($G126 = "", "Missing Required Attendees", ""), IF($T126 = "", "Missing Status", ""), IF(AND($D126 &lt;&gt; "", $E126 &lt;&gt; "", $D126 &gt;= $E126), "Start&gt;=End", ""), IF(OR($R126 = "", LEN($R126) &lt; 60, ISNUMBER(MATCH(TRIM($R126), StatusList, 0))), "Body overwritten/short", "")))))</f>
        <v/>
      </c>
    </row>
    <row r="127" spans="1:22" ht="15" customHeight="1">
      <c r="A127" s="12" t="str">
        <f>IF(AND($B127&lt;&gt;"",$C127&lt;&gt;"",$D127&lt;&gt;"",$E127&lt;&gt;"",$G127&lt;&gt;""),
UPPER(
LEFT(TRIM(LEFT($G127,IFERROR(FIND(";",$G127)-1,999))),1)&amp;
IFERROR(
MID(TRIM(LEFT($G127,IFERROR(FIND(";",$G127)-1,999))),
FIND(" ",TRIM(LEFT($G127,IFERROR(FIND(";",$G127)-1,999))))+1,1),
MID(TRIM(LEFT($G127,IFERROR(FIND(";",$G127)-1,999))),2,1)
)
)&amp;"-"&amp;TEXT($C127,"yyyy-mm-dd"),
"")</f>
        <v/>
      </c>
      <c r="B127" s="25"/>
      <c r="C127" s="34"/>
      <c r="D127" s="38"/>
      <c r="E127" s="38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16" t="str">
        <f>IF($L127&lt;&gt;"","Purpose "&amp;CHAR(10)&amp;$L127&amp;CHAR(10)&amp;CHAR(10),"")&amp;
IF($M127&lt;&gt;"","Stops (in order) "&amp;CHAR(10)&amp;$M127&amp;CHAR(10)&amp;CHAR(10),"")&amp;
IF($N127&lt;&gt;"","To-Do (hard requirements) "&amp;CHAR(10)&amp;$N127&amp;CHAR(10)&amp;CHAR(10),"")&amp;
IF($O127&lt;&gt;"","Suggested Timeline "&amp;CHAR(10)&amp;$O127&amp;CHAR(10)&amp;CHAR(10),"")&amp;
IF($P127&lt;&gt;"","Guardrails "&amp;CHAR(10)&amp;$P127&amp;CHAR(10)&amp;CHAR(10),"")&amp;
IF($Q127&lt;&gt;"","Completion signals "&amp;CHAR(10)&amp;$Q127,"")</f>
        <v/>
      </c>
      <c r="S127" s="25"/>
      <c r="T127" s="25"/>
      <c r="U127" s="8"/>
      <c r="V127" s="8" t="str">
        <f>_xlfn.SINGLE(IF($B127 = "", "", IF(_xlfn.SINGLE(_xlfn.TEXTJOIN(" | ", TRUE, IF($B127 = "", "Missing Title", ""), IF($C127 = "", "Missing Date", ""), IF($D127 = "", "Missing Start", ""), IF($E127 = "", "Missing End", ""), IF($G127 = "", "Missing Required Attendees", ""), IF($T127 = "", "Missing Status", ""), IF(AND($D127 &lt;&gt; "", $E127 &lt;&gt; "", $D127 &gt;= $E127), "Start&gt;=End", ""), IF(OR($R127 = "", LEN($R127) &lt; 60, ISNUMBER(MATCH(TRIM($R127), StatusList, 0))), "Body overwritten/short", ""))) = "", "OK", _xlfn.TEXTJOIN(" | ", TRUE, IF($B127 = "", "Missing Title", ""), IF($C127 = "", "Missing Date", ""), IF($D127 = "", "Missing Start", ""), IF($E127 = "", "Missing End", ""), IF($G127 = "", "Missing Required Attendees", ""), IF($T127 = "", "Missing Status", ""), IF(AND($D127 &lt;&gt; "", $E127 &lt;&gt; "", $D127 &gt;= $E127), "Start&gt;=End", ""), IF(OR($R127 = "", LEN($R127) &lt; 60, ISNUMBER(MATCH(TRIM($R127), StatusList, 0))), "Body overwritten/short", "")))))</f>
        <v/>
      </c>
    </row>
    <row r="128" spans="1:22" ht="15" customHeight="1">
      <c r="A128" s="12" t="str">
        <f>IF(AND($B128&lt;&gt;"",$C128&lt;&gt;"",$D128&lt;&gt;"",$E128&lt;&gt;"",$G128&lt;&gt;""),
UPPER(
LEFT(TRIM(LEFT($G128,IFERROR(FIND(";",$G128)-1,999))),1)&amp;
IFERROR(
MID(TRIM(LEFT($G128,IFERROR(FIND(";",$G128)-1,999))),
FIND(" ",TRIM(LEFT($G128,IFERROR(FIND(";",$G128)-1,999))))+1,1),
MID(TRIM(LEFT($G128,IFERROR(FIND(";",$G128)-1,999))),2,1)
)
)&amp;"-"&amp;TEXT($C128,"yyyy-mm-dd"),
"")</f>
        <v/>
      </c>
      <c r="B128" s="25"/>
      <c r="C128" s="34"/>
      <c r="D128" s="38"/>
      <c r="E128" s="38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16" t="str">
        <f>IF($L128&lt;&gt;"","Purpose "&amp;CHAR(10)&amp;$L128&amp;CHAR(10)&amp;CHAR(10),"")&amp;
IF($M128&lt;&gt;"","Stops (in order) "&amp;CHAR(10)&amp;$M128&amp;CHAR(10)&amp;CHAR(10),"")&amp;
IF($N128&lt;&gt;"","To-Do (hard requirements) "&amp;CHAR(10)&amp;$N128&amp;CHAR(10)&amp;CHAR(10),"")&amp;
IF($O128&lt;&gt;"","Suggested Timeline "&amp;CHAR(10)&amp;$O128&amp;CHAR(10)&amp;CHAR(10),"")&amp;
IF($P128&lt;&gt;"","Guardrails "&amp;CHAR(10)&amp;$P128&amp;CHAR(10)&amp;CHAR(10),"")&amp;
IF($Q128&lt;&gt;"","Completion signals "&amp;CHAR(10)&amp;$Q128,"")</f>
        <v/>
      </c>
      <c r="S128" s="25"/>
      <c r="T128" s="25"/>
      <c r="U128" s="8"/>
      <c r="V128" s="8" t="str">
        <f>_xlfn.SINGLE(IF($B128 = "", "", IF(_xlfn.SINGLE(_xlfn.TEXTJOIN(" | ", TRUE, IF($B128 = "", "Missing Title", ""), IF($C128 = "", "Missing Date", ""), IF($D128 = "", "Missing Start", ""), IF($E128 = "", "Missing End", ""), IF($G128 = "", "Missing Required Attendees", ""), IF($T128 = "", "Missing Status", ""), IF(AND($D128 &lt;&gt; "", $E128 &lt;&gt; "", $D128 &gt;= $E128), "Start&gt;=End", ""), IF(OR($R128 = "", LEN($R128) &lt; 60, ISNUMBER(MATCH(TRIM($R128), StatusList, 0))), "Body overwritten/short", ""))) = "", "OK", _xlfn.TEXTJOIN(" | ", TRUE, IF($B128 = "", "Missing Title", ""), IF($C128 = "", "Missing Date", ""), IF($D128 = "", "Missing Start", ""), IF($E128 = "", "Missing End", ""), IF($G128 = "", "Missing Required Attendees", ""), IF($T128 = "", "Missing Status", ""), IF(AND($D128 &lt;&gt; "", $E128 &lt;&gt; "", $D128 &gt;= $E128), "Start&gt;=End", ""), IF(OR($R128 = "", LEN($R128) &lt; 60, ISNUMBER(MATCH(TRIM($R128), StatusList, 0))), "Body overwritten/short", "")))))</f>
        <v/>
      </c>
    </row>
    <row r="129" spans="1:22" ht="15" customHeight="1">
      <c r="A129" s="12" t="str">
        <f>IF(AND($B129&lt;&gt;"",$C129&lt;&gt;"",$D129&lt;&gt;"",$E129&lt;&gt;"",$G129&lt;&gt;""),
UPPER(
LEFT(TRIM(LEFT($G129,IFERROR(FIND(";",$G129)-1,999))),1)&amp;
IFERROR(
MID(TRIM(LEFT($G129,IFERROR(FIND(";",$G129)-1,999))),
FIND(" ",TRIM(LEFT($G129,IFERROR(FIND(";",$G129)-1,999))))+1,1),
MID(TRIM(LEFT($G129,IFERROR(FIND(";",$G129)-1,999))),2,1)
)
)&amp;"-"&amp;TEXT($C129,"yyyy-mm-dd"),
"")</f>
        <v/>
      </c>
      <c r="B129" s="25"/>
      <c r="C129" s="34"/>
      <c r="D129" s="38"/>
      <c r="E129" s="38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16" t="str">
        <f>IF($L129&lt;&gt;"","Purpose "&amp;CHAR(10)&amp;$L129&amp;CHAR(10)&amp;CHAR(10),"")&amp;
IF($M129&lt;&gt;"","Stops (in order) "&amp;CHAR(10)&amp;$M129&amp;CHAR(10)&amp;CHAR(10),"")&amp;
IF($N129&lt;&gt;"","To-Do (hard requirements) "&amp;CHAR(10)&amp;$N129&amp;CHAR(10)&amp;CHAR(10),"")&amp;
IF($O129&lt;&gt;"","Suggested Timeline "&amp;CHAR(10)&amp;$O129&amp;CHAR(10)&amp;CHAR(10),"")&amp;
IF($P129&lt;&gt;"","Guardrails "&amp;CHAR(10)&amp;$P129&amp;CHAR(10)&amp;CHAR(10),"")&amp;
IF($Q129&lt;&gt;"","Completion signals "&amp;CHAR(10)&amp;$Q129,"")</f>
        <v/>
      </c>
      <c r="S129" s="25"/>
      <c r="T129" s="25"/>
      <c r="U129" s="8"/>
      <c r="V129" s="8" t="str">
        <f>_xlfn.SINGLE(IF($B129 = "", "", IF(_xlfn.SINGLE(_xlfn.TEXTJOIN(" | ", TRUE, IF($B129 = "", "Missing Title", ""), IF($C129 = "", "Missing Date", ""), IF($D129 = "", "Missing Start", ""), IF($E129 = "", "Missing End", ""), IF($G129 = "", "Missing Required Attendees", ""), IF($T129 = "", "Missing Status", ""), IF(AND($D129 &lt;&gt; "", $E129 &lt;&gt; "", $D129 &gt;= $E129), "Start&gt;=End", ""), IF(OR($R129 = "", LEN($R129) &lt; 60, ISNUMBER(MATCH(TRIM($R129), StatusList, 0))), "Body overwritten/short", ""))) = "", "OK", _xlfn.TEXTJOIN(" | ", TRUE, IF($B129 = "", "Missing Title", ""), IF($C129 = "", "Missing Date", ""), IF($D129 = "", "Missing Start", ""), IF($E129 = "", "Missing End", ""), IF($G129 = "", "Missing Required Attendees", ""), IF($T129 = "", "Missing Status", ""), IF(AND($D129 &lt;&gt; "", $E129 &lt;&gt; "", $D129 &gt;= $E129), "Start&gt;=End", ""), IF(OR($R129 = "", LEN($R129) &lt; 60, ISNUMBER(MATCH(TRIM($R129), StatusList, 0))), "Body overwritten/short", "")))))</f>
        <v/>
      </c>
    </row>
    <row r="130" spans="1:22" ht="15" customHeight="1">
      <c r="A130" s="12" t="str">
        <f>IF(AND($B130&lt;&gt;"",$C130&lt;&gt;"",$D130&lt;&gt;"",$E130&lt;&gt;"",$G130&lt;&gt;""),
UPPER(
LEFT(TRIM(LEFT($G130,IFERROR(FIND(";",$G130)-1,999))),1)&amp;
IFERROR(
MID(TRIM(LEFT($G130,IFERROR(FIND(";",$G130)-1,999))),
FIND(" ",TRIM(LEFT($G130,IFERROR(FIND(";",$G130)-1,999))))+1,1),
MID(TRIM(LEFT($G130,IFERROR(FIND(";",$G130)-1,999))),2,1)
)
)&amp;"-"&amp;TEXT($C130,"yyyy-mm-dd"),
"")</f>
        <v/>
      </c>
      <c r="B130" s="25"/>
      <c r="C130" s="34"/>
      <c r="D130" s="38"/>
      <c r="E130" s="38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16" t="str">
        <f>IF($L130&lt;&gt;"","Purpose "&amp;CHAR(10)&amp;$L130&amp;CHAR(10)&amp;CHAR(10),"")&amp;
IF($M130&lt;&gt;"","Stops (in order) "&amp;CHAR(10)&amp;$M130&amp;CHAR(10)&amp;CHAR(10),"")&amp;
IF($N130&lt;&gt;"","To-Do (hard requirements) "&amp;CHAR(10)&amp;$N130&amp;CHAR(10)&amp;CHAR(10),"")&amp;
IF($O130&lt;&gt;"","Suggested Timeline "&amp;CHAR(10)&amp;$O130&amp;CHAR(10)&amp;CHAR(10),"")&amp;
IF($P130&lt;&gt;"","Guardrails "&amp;CHAR(10)&amp;$P130&amp;CHAR(10)&amp;CHAR(10),"")&amp;
IF($Q130&lt;&gt;"","Completion signals "&amp;CHAR(10)&amp;$Q130,"")</f>
        <v/>
      </c>
      <c r="S130" s="25"/>
      <c r="T130" s="25"/>
      <c r="U130" s="8"/>
      <c r="V130" s="8" t="str">
        <f>_xlfn.SINGLE(IF($B130 = "", "", IF(_xlfn.SINGLE(_xlfn.TEXTJOIN(" | ", TRUE, IF($B130 = "", "Missing Title", ""), IF($C130 = "", "Missing Date", ""), IF($D130 = "", "Missing Start", ""), IF($E130 = "", "Missing End", ""), IF($G130 = "", "Missing Required Attendees", ""), IF($T130 = "", "Missing Status", ""), IF(AND($D130 &lt;&gt; "", $E130 &lt;&gt; "", $D130 &gt;= $E130), "Start&gt;=End", ""), IF(OR($R130 = "", LEN($R130) &lt; 60, ISNUMBER(MATCH(TRIM($R130), StatusList, 0))), "Body overwritten/short", ""))) = "", "OK", _xlfn.TEXTJOIN(" | ", TRUE, IF($B130 = "", "Missing Title", ""), IF($C130 = "", "Missing Date", ""), IF($D130 = "", "Missing Start", ""), IF($E130 = "", "Missing End", ""), IF($G130 = "", "Missing Required Attendees", ""), IF($T130 = "", "Missing Status", ""), IF(AND($D130 &lt;&gt; "", $E130 &lt;&gt; "", $D130 &gt;= $E130), "Start&gt;=End", ""), IF(OR($R130 = "", LEN($R130) &lt; 60, ISNUMBER(MATCH(TRIM($R130), StatusList, 0))), "Body overwritten/short", "")))))</f>
        <v/>
      </c>
    </row>
    <row r="131" spans="1:22" ht="15" customHeight="1">
      <c r="A131" s="12" t="str">
        <f>IF(AND($B131&lt;&gt;"",$C131&lt;&gt;"",$D131&lt;&gt;"",$E131&lt;&gt;"",$G131&lt;&gt;""),
UPPER(
LEFT(TRIM(LEFT($G131,IFERROR(FIND(";",$G131)-1,999))),1)&amp;
IFERROR(
MID(TRIM(LEFT($G131,IFERROR(FIND(";",$G131)-1,999))),
FIND(" ",TRIM(LEFT($G131,IFERROR(FIND(";",$G131)-1,999))))+1,1),
MID(TRIM(LEFT($G131,IFERROR(FIND(";",$G131)-1,999))),2,1)
)
)&amp;"-"&amp;TEXT($C131,"yyyy-mm-dd"),
"")</f>
        <v/>
      </c>
      <c r="B131" s="25"/>
      <c r="C131" s="34"/>
      <c r="D131" s="38"/>
      <c r="E131" s="38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16" t="str">
        <f>IF($L131&lt;&gt;"","Purpose "&amp;CHAR(10)&amp;$L131&amp;CHAR(10)&amp;CHAR(10),"")&amp;
IF($M131&lt;&gt;"","Stops (in order) "&amp;CHAR(10)&amp;$M131&amp;CHAR(10)&amp;CHAR(10),"")&amp;
IF($N131&lt;&gt;"","To-Do (hard requirements) "&amp;CHAR(10)&amp;$N131&amp;CHAR(10)&amp;CHAR(10),"")&amp;
IF($O131&lt;&gt;"","Suggested Timeline "&amp;CHAR(10)&amp;$O131&amp;CHAR(10)&amp;CHAR(10),"")&amp;
IF($P131&lt;&gt;"","Guardrails "&amp;CHAR(10)&amp;$P131&amp;CHAR(10)&amp;CHAR(10),"")&amp;
IF($Q131&lt;&gt;"","Completion signals "&amp;CHAR(10)&amp;$Q131,"")</f>
        <v/>
      </c>
      <c r="S131" s="25"/>
      <c r="T131" s="25"/>
      <c r="U131" s="8"/>
      <c r="V131" s="8" t="str">
        <f>_xlfn.SINGLE(IF($B131 = "", "", IF(_xlfn.SINGLE(_xlfn.TEXTJOIN(" | ", TRUE, IF($B131 = "", "Missing Title", ""), IF($C131 = "", "Missing Date", ""), IF($D131 = "", "Missing Start", ""), IF($E131 = "", "Missing End", ""), IF($G131 = "", "Missing Required Attendees", ""), IF($T131 = "", "Missing Status", ""), IF(AND($D131 &lt;&gt; "", $E131 &lt;&gt; "", $D131 &gt;= $E131), "Start&gt;=End", ""), IF(OR($R131 = "", LEN($R131) &lt; 60, ISNUMBER(MATCH(TRIM($R131), StatusList, 0))), "Body overwritten/short", ""))) = "", "OK", _xlfn.TEXTJOIN(" | ", TRUE, IF($B131 = "", "Missing Title", ""), IF($C131 = "", "Missing Date", ""), IF($D131 = "", "Missing Start", ""), IF($E131 = "", "Missing End", ""), IF($G131 = "", "Missing Required Attendees", ""), IF($T131 = "", "Missing Status", ""), IF(AND($D131 &lt;&gt; "", $E131 &lt;&gt; "", $D131 &gt;= $E131), "Start&gt;=End", ""), IF(OR($R131 = "", LEN($R131) &lt; 60, ISNUMBER(MATCH(TRIM($R131), StatusList, 0))), "Body overwritten/short", "")))))</f>
        <v/>
      </c>
    </row>
    <row r="132" spans="1:22" ht="15" customHeight="1">
      <c r="A132" s="12" t="str">
        <f>IF(AND($B132&lt;&gt;"",$C132&lt;&gt;"",$D132&lt;&gt;"",$E132&lt;&gt;"",$G132&lt;&gt;""),
UPPER(
LEFT(TRIM(LEFT($G132,IFERROR(FIND(";",$G132)-1,999))),1)&amp;
IFERROR(
MID(TRIM(LEFT($G132,IFERROR(FIND(";",$G132)-1,999))),
FIND(" ",TRIM(LEFT($G132,IFERROR(FIND(";",$G132)-1,999))))+1,1),
MID(TRIM(LEFT($G132,IFERROR(FIND(";",$G132)-1,999))),2,1)
)
)&amp;"-"&amp;TEXT($C132,"yyyy-mm-dd"),
"")</f>
        <v/>
      </c>
      <c r="B132" s="25"/>
      <c r="C132" s="34"/>
      <c r="D132" s="38"/>
      <c r="E132" s="38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6" t="str">
        <f>IF($L132&lt;&gt;"","Purpose "&amp;CHAR(10)&amp;$L132&amp;CHAR(10)&amp;CHAR(10),"")&amp;
IF($M132&lt;&gt;"","Stops (in order) "&amp;CHAR(10)&amp;$M132&amp;CHAR(10)&amp;CHAR(10),"")&amp;
IF($N132&lt;&gt;"","To-Do (hard requirements) "&amp;CHAR(10)&amp;$N132&amp;CHAR(10)&amp;CHAR(10),"")&amp;
IF($O132&lt;&gt;"","Suggested Timeline "&amp;CHAR(10)&amp;$O132&amp;CHAR(10)&amp;CHAR(10),"")&amp;
IF($P132&lt;&gt;"","Guardrails "&amp;CHAR(10)&amp;$P132&amp;CHAR(10)&amp;CHAR(10),"")&amp;
IF($Q132&lt;&gt;"","Completion signals "&amp;CHAR(10)&amp;$Q132,"")</f>
        <v/>
      </c>
      <c r="S132" s="25"/>
      <c r="T132" s="25"/>
      <c r="U132" s="8"/>
      <c r="V132" s="8" t="str">
        <f>_xlfn.SINGLE(IF($B132 = "", "", IF(_xlfn.SINGLE(_xlfn.TEXTJOIN(" | ", TRUE, IF($B132 = "", "Missing Title", ""), IF($C132 = "", "Missing Date", ""), IF($D132 = "", "Missing Start", ""), IF($E132 = "", "Missing End", ""), IF($G132 = "", "Missing Required Attendees", ""), IF($T132 = "", "Missing Status", ""), IF(AND($D132 &lt;&gt; "", $E132 &lt;&gt; "", $D132 &gt;= $E132), "Start&gt;=End", ""), IF(OR($R132 = "", LEN($R132) &lt; 60, ISNUMBER(MATCH(TRIM($R132), StatusList, 0))), "Body overwritten/short", ""))) = "", "OK", _xlfn.TEXTJOIN(" | ", TRUE, IF($B132 = "", "Missing Title", ""), IF($C132 = "", "Missing Date", ""), IF($D132 = "", "Missing Start", ""), IF($E132 = "", "Missing End", ""), IF($G132 = "", "Missing Required Attendees", ""), IF($T132 = "", "Missing Status", ""), IF(AND($D132 &lt;&gt; "", $E132 &lt;&gt; "", $D132 &gt;= $E132), "Start&gt;=End", ""), IF(OR($R132 = "", LEN($R132) &lt; 60, ISNUMBER(MATCH(TRIM($R132), StatusList, 0))), "Body overwritten/short", "")))))</f>
        <v/>
      </c>
    </row>
    <row r="133" spans="1:22" ht="15" customHeight="1">
      <c r="A133" s="12" t="str">
        <f>IF(AND($B133&lt;&gt;"",$C133&lt;&gt;"",$D133&lt;&gt;"",$E133&lt;&gt;"",$G133&lt;&gt;""),
UPPER(
LEFT(TRIM(LEFT($G133,IFERROR(FIND(";",$G133)-1,999))),1)&amp;
IFERROR(
MID(TRIM(LEFT($G133,IFERROR(FIND(";",$G133)-1,999))),
FIND(" ",TRIM(LEFT($G133,IFERROR(FIND(";",$G133)-1,999))))+1,1),
MID(TRIM(LEFT($G133,IFERROR(FIND(";",$G133)-1,999))),2,1)
)
)&amp;"-"&amp;TEXT($C133,"yyyy-mm-dd"),
"")</f>
        <v/>
      </c>
      <c r="B133" s="25"/>
      <c r="C133" s="34"/>
      <c r="D133" s="38"/>
      <c r="E133" s="38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16" t="str">
        <f>IF($L133&lt;&gt;"","Purpose "&amp;CHAR(10)&amp;$L133&amp;CHAR(10)&amp;CHAR(10),"")&amp;
IF($M133&lt;&gt;"","Stops (in order) "&amp;CHAR(10)&amp;$M133&amp;CHAR(10)&amp;CHAR(10),"")&amp;
IF($N133&lt;&gt;"","To-Do (hard requirements) "&amp;CHAR(10)&amp;$N133&amp;CHAR(10)&amp;CHAR(10),"")&amp;
IF($O133&lt;&gt;"","Suggested Timeline "&amp;CHAR(10)&amp;$O133&amp;CHAR(10)&amp;CHAR(10),"")&amp;
IF($P133&lt;&gt;"","Guardrails "&amp;CHAR(10)&amp;$P133&amp;CHAR(10)&amp;CHAR(10),"")&amp;
IF($Q133&lt;&gt;"","Completion signals "&amp;CHAR(10)&amp;$Q133,"")</f>
        <v/>
      </c>
      <c r="S133" s="25"/>
      <c r="T133" s="25"/>
      <c r="U133" s="8"/>
      <c r="V133" s="8" t="str">
        <f>_xlfn.SINGLE(IF($B133 = "", "", IF(_xlfn.SINGLE(_xlfn.TEXTJOIN(" | ", TRUE, IF($B133 = "", "Missing Title", ""), IF($C133 = "", "Missing Date", ""), IF($D133 = "", "Missing Start", ""), IF($E133 = "", "Missing End", ""), IF($G133 = "", "Missing Required Attendees", ""), IF($T133 = "", "Missing Status", ""), IF(AND($D133 &lt;&gt; "", $E133 &lt;&gt; "", $D133 &gt;= $E133), "Start&gt;=End", ""), IF(OR($R133 = "", LEN($R133) &lt; 60, ISNUMBER(MATCH(TRIM($R133), StatusList, 0))), "Body overwritten/short", ""))) = "", "OK", _xlfn.TEXTJOIN(" | ", TRUE, IF($B133 = "", "Missing Title", ""), IF($C133 = "", "Missing Date", ""), IF($D133 = "", "Missing Start", ""), IF($E133 = "", "Missing End", ""), IF($G133 = "", "Missing Required Attendees", ""), IF($T133 = "", "Missing Status", ""), IF(AND($D133 &lt;&gt; "", $E133 &lt;&gt; "", $D133 &gt;= $E133), "Start&gt;=End", ""), IF(OR($R133 = "", LEN($R133) &lt; 60, ISNUMBER(MATCH(TRIM($R133), StatusList, 0))), "Body overwritten/short", "")))))</f>
        <v/>
      </c>
    </row>
    <row r="134" spans="1:22" ht="15" customHeight="1">
      <c r="A134" s="12" t="str">
        <f>IF(AND($B134&lt;&gt;"",$C134&lt;&gt;"",$D134&lt;&gt;"",$E134&lt;&gt;"",$G134&lt;&gt;""),
UPPER(
LEFT(TRIM(LEFT($G134,IFERROR(FIND(";",$G134)-1,999))),1)&amp;
IFERROR(
MID(TRIM(LEFT($G134,IFERROR(FIND(";",$G134)-1,999))),
FIND(" ",TRIM(LEFT($G134,IFERROR(FIND(";",$G134)-1,999))))+1,1),
MID(TRIM(LEFT($G134,IFERROR(FIND(";",$G134)-1,999))),2,1)
)
)&amp;"-"&amp;TEXT($C134,"yyyy-mm-dd"),
"")</f>
        <v/>
      </c>
      <c r="B134" s="25"/>
      <c r="C134" s="34"/>
      <c r="D134" s="38"/>
      <c r="E134" s="38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16" t="str">
        <f>IF($L134&lt;&gt;"","Purpose "&amp;CHAR(10)&amp;$L134&amp;CHAR(10)&amp;CHAR(10),"")&amp;
IF($M134&lt;&gt;"","Stops (in order) "&amp;CHAR(10)&amp;$M134&amp;CHAR(10)&amp;CHAR(10),"")&amp;
IF($N134&lt;&gt;"","To-Do (hard requirements) "&amp;CHAR(10)&amp;$N134&amp;CHAR(10)&amp;CHAR(10),"")&amp;
IF($O134&lt;&gt;"","Suggested Timeline "&amp;CHAR(10)&amp;$O134&amp;CHAR(10)&amp;CHAR(10),"")&amp;
IF($P134&lt;&gt;"","Guardrails "&amp;CHAR(10)&amp;$P134&amp;CHAR(10)&amp;CHAR(10),"")&amp;
IF($Q134&lt;&gt;"","Completion signals "&amp;CHAR(10)&amp;$Q134,"")</f>
        <v/>
      </c>
      <c r="S134" s="25"/>
      <c r="T134" s="25"/>
      <c r="U134" s="8"/>
      <c r="V134" s="8" t="str">
        <f>_xlfn.SINGLE(IF($B134 = "", "", IF(_xlfn.SINGLE(_xlfn.TEXTJOIN(" | ", TRUE, IF($B134 = "", "Missing Title", ""), IF($C134 = "", "Missing Date", ""), IF($D134 = "", "Missing Start", ""), IF($E134 = "", "Missing End", ""), IF($G134 = "", "Missing Required Attendees", ""), IF($T134 = "", "Missing Status", ""), IF(AND($D134 &lt;&gt; "", $E134 &lt;&gt; "", $D134 &gt;= $E134), "Start&gt;=End", ""), IF(OR($R134 = "", LEN($R134) &lt; 60, ISNUMBER(MATCH(TRIM($R134), StatusList, 0))), "Body overwritten/short", ""))) = "", "OK", _xlfn.TEXTJOIN(" | ", TRUE, IF($B134 = "", "Missing Title", ""), IF($C134 = "", "Missing Date", ""), IF($D134 = "", "Missing Start", ""), IF($E134 = "", "Missing End", ""), IF($G134 = "", "Missing Required Attendees", ""), IF($T134 = "", "Missing Status", ""), IF(AND($D134 &lt;&gt; "", $E134 &lt;&gt; "", $D134 &gt;= $E134), "Start&gt;=End", ""), IF(OR($R134 = "", LEN($R134) &lt; 60, ISNUMBER(MATCH(TRIM($R134), StatusList, 0))), "Body overwritten/short", "")))))</f>
        <v/>
      </c>
    </row>
    <row r="135" spans="1:22" ht="15" customHeight="1">
      <c r="A135" s="12" t="str">
        <f>IF(AND($B135&lt;&gt;"",$C135&lt;&gt;"",$D135&lt;&gt;"",$E135&lt;&gt;"",$G135&lt;&gt;""),
UPPER(
LEFT(TRIM(LEFT($G135,IFERROR(FIND(";",$G135)-1,999))),1)&amp;
IFERROR(
MID(TRIM(LEFT($G135,IFERROR(FIND(";",$G135)-1,999))),
FIND(" ",TRIM(LEFT($G135,IFERROR(FIND(";",$G135)-1,999))))+1,1),
MID(TRIM(LEFT($G135,IFERROR(FIND(";",$G135)-1,999))),2,1)
)
)&amp;"-"&amp;TEXT($C135,"yyyy-mm-dd"),
"")</f>
        <v/>
      </c>
      <c r="B135" s="25"/>
      <c r="C135" s="34"/>
      <c r="D135" s="38"/>
      <c r="E135" s="38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16" t="str">
        <f>IF($L135&lt;&gt;"","Purpose "&amp;CHAR(10)&amp;$L135&amp;CHAR(10)&amp;CHAR(10),"")&amp;
IF($M135&lt;&gt;"","Stops (in order) "&amp;CHAR(10)&amp;$M135&amp;CHAR(10)&amp;CHAR(10),"")&amp;
IF($N135&lt;&gt;"","To-Do (hard requirements) "&amp;CHAR(10)&amp;$N135&amp;CHAR(10)&amp;CHAR(10),"")&amp;
IF($O135&lt;&gt;"","Suggested Timeline "&amp;CHAR(10)&amp;$O135&amp;CHAR(10)&amp;CHAR(10),"")&amp;
IF($P135&lt;&gt;"","Guardrails "&amp;CHAR(10)&amp;$P135&amp;CHAR(10)&amp;CHAR(10),"")&amp;
IF($Q135&lt;&gt;"","Completion signals "&amp;CHAR(10)&amp;$Q135,"")</f>
        <v/>
      </c>
      <c r="S135" s="25"/>
      <c r="T135" s="25"/>
      <c r="U135" s="8"/>
      <c r="V135" s="8" t="str">
        <f>_xlfn.SINGLE(IF($B135 = "", "", IF(_xlfn.SINGLE(_xlfn.TEXTJOIN(" | ", TRUE, IF($B135 = "", "Missing Title", ""), IF($C135 = "", "Missing Date", ""), IF($D135 = "", "Missing Start", ""), IF($E135 = "", "Missing End", ""), IF($G135 = "", "Missing Required Attendees", ""), IF($T135 = "", "Missing Status", ""), IF(AND($D135 &lt;&gt; "", $E135 &lt;&gt; "", $D135 &gt;= $E135), "Start&gt;=End", ""), IF(OR($R135 = "", LEN($R135) &lt; 60, ISNUMBER(MATCH(TRIM($R135), StatusList, 0))), "Body overwritten/short", ""))) = "", "OK", _xlfn.TEXTJOIN(" | ", TRUE, IF($B135 = "", "Missing Title", ""), IF($C135 = "", "Missing Date", ""), IF($D135 = "", "Missing Start", ""), IF($E135 = "", "Missing End", ""), IF($G135 = "", "Missing Required Attendees", ""), IF($T135 = "", "Missing Status", ""), IF(AND($D135 &lt;&gt; "", $E135 &lt;&gt; "", $D135 &gt;= $E135), "Start&gt;=End", ""), IF(OR($R135 = "", LEN($R135) &lt; 60, ISNUMBER(MATCH(TRIM($R135), StatusList, 0))), "Body overwritten/short", "")))))</f>
        <v/>
      </c>
    </row>
    <row r="136" spans="1:22" ht="15" customHeight="1">
      <c r="A136" s="12" t="str">
        <f>IF(AND($B136&lt;&gt;"",$C136&lt;&gt;"",$D136&lt;&gt;"",$E136&lt;&gt;"",$G136&lt;&gt;""),
UPPER(
LEFT(TRIM(LEFT($G136,IFERROR(FIND(";",$G136)-1,999))),1)&amp;
IFERROR(
MID(TRIM(LEFT($G136,IFERROR(FIND(";",$G136)-1,999))),
FIND(" ",TRIM(LEFT($G136,IFERROR(FIND(";",$G136)-1,999))))+1,1),
MID(TRIM(LEFT($G136,IFERROR(FIND(";",$G136)-1,999))),2,1)
)
)&amp;"-"&amp;TEXT($C136,"yyyy-mm-dd"),
"")</f>
        <v/>
      </c>
      <c r="B136" s="25"/>
      <c r="C136" s="34"/>
      <c r="D136" s="38"/>
      <c r="E136" s="38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16" t="str">
        <f>IF($L136&lt;&gt;"","Purpose "&amp;CHAR(10)&amp;$L136&amp;CHAR(10)&amp;CHAR(10),"")&amp;
IF($M136&lt;&gt;"","Stops (in order) "&amp;CHAR(10)&amp;$M136&amp;CHAR(10)&amp;CHAR(10),"")&amp;
IF($N136&lt;&gt;"","To-Do (hard requirements) "&amp;CHAR(10)&amp;$N136&amp;CHAR(10)&amp;CHAR(10),"")&amp;
IF($O136&lt;&gt;"","Suggested Timeline "&amp;CHAR(10)&amp;$O136&amp;CHAR(10)&amp;CHAR(10),"")&amp;
IF($P136&lt;&gt;"","Guardrails "&amp;CHAR(10)&amp;$P136&amp;CHAR(10)&amp;CHAR(10),"")&amp;
IF($Q136&lt;&gt;"","Completion signals "&amp;CHAR(10)&amp;$Q136,"")</f>
        <v/>
      </c>
      <c r="S136" s="25"/>
      <c r="T136" s="25"/>
      <c r="U136" s="8"/>
      <c r="V136" s="8" t="str">
        <f>_xlfn.SINGLE(IF($B136 = "", "", IF(_xlfn.SINGLE(_xlfn.TEXTJOIN(" | ", TRUE, IF($B136 = "", "Missing Title", ""), IF($C136 = "", "Missing Date", ""), IF($D136 = "", "Missing Start", ""), IF($E136 = "", "Missing End", ""), IF($G136 = "", "Missing Required Attendees", ""), IF($T136 = "", "Missing Status", ""), IF(AND($D136 &lt;&gt; "", $E136 &lt;&gt; "", $D136 &gt;= $E136), "Start&gt;=End", ""), IF(OR($R136 = "", LEN($R136) &lt; 60, ISNUMBER(MATCH(TRIM($R136), StatusList, 0))), "Body overwritten/short", ""))) = "", "OK", _xlfn.TEXTJOIN(" | ", TRUE, IF($B136 = "", "Missing Title", ""), IF($C136 = "", "Missing Date", ""), IF($D136 = "", "Missing Start", ""), IF($E136 = "", "Missing End", ""), IF($G136 = "", "Missing Required Attendees", ""), IF($T136 = "", "Missing Status", ""), IF(AND($D136 &lt;&gt; "", $E136 &lt;&gt; "", $D136 &gt;= $E136), "Start&gt;=End", ""), IF(OR($R136 = "", LEN($R136) &lt; 60, ISNUMBER(MATCH(TRIM($R136), StatusList, 0))), "Body overwritten/short", "")))))</f>
        <v/>
      </c>
    </row>
    <row r="137" spans="1:22" ht="15" customHeight="1">
      <c r="A137" s="12" t="str">
        <f>IF(AND($B137&lt;&gt;"",$C137&lt;&gt;"",$D137&lt;&gt;"",$E137&lt;&gt;"",$G137&lt;&gt;""),
UPPER(
LEFT(TRIM(LEFT($G137,IFERROR(FIND(";",$G137)-1,999))),1)&amp;
IFERROR(
MID(TRIM(LEFT($G137,IFERROR(FIND(";",$G137)-1,999))),
FIND(" ",TRIM(LEFT($G137,IFERROR(FIND(";",$G137)-1,999))))+1,1),
MID(TRIM(LEFT($G137,IFERROR(FIND(";",$G137)-1,999))),2,1)
)
)&amp;"-"&amp;TEXT($C137,"yyyy-mm-dd"),
"")</f>
        <v/>
      </c>
      <c r="B137" s="25"/>
      <c r="C137" s="34"/>
      <c r="D137" s="38"/>
      <c r="E137" s="38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16" t="str">
        <f>IF($L137&lt;&gt;"","Purpose "&amp;CHAR(10)&amp;$L137&amp;CHAR(10)&amp;CHAR(10),"")&amp;
IF($M137&lt;&gt;"","Stops (in order) "&amp;CHAR(10)&amp;$M137&amp;CHAR(10)&amp;CHAR(10),"")&amp;
IF($N137&lt;&gt;"","To-Do (hard requirements) "&amp;CHAR(10)&amp;$N137&amp;CHAR(10)&amp;CHAR(10),"")&amp;
IF($O137&lt;&gt;"","Suggested Timeline "&amp;CHAR(10)&amp;$O137&amp;CHAR(10)&amp;CHAR(10),"")&amp;
IF($P137&lt;&gt;"","Guardrails "&amp;CHAR(10)&amp;$P137&amp;CHAR(10)&amp;CHAR(10),"")&amp;
IF($Q137&lt;&gt;"","Completion signals "&amp;CHAR(10)&amp;$Q137,"")</f>
        <v/>
      </c>
      <c r="S137" s="25"/>
      <c r="T137" s="25"/>
      <c r="U137" s="8"/>
      <c r="V137" s="8" t="str">
        <f>_xlfn.SINGLE(IF($B137 = "", "", IF(_xlfn.SINGLE(_xlfn.TEXTJOIN(" | ", TRUE, IF($B137 = "", "Missing Title", ""), IF($C137 = "", "Missing Date", ""), IF($D137 = "", "Missing Start", ""), IF($E137 = "", "Missing End", ""), IF($G137 = "", "Missing Required Attendees", ""), IF($T137 = "", "Missing Status", ""), IF(AND($D137 &lt;&gt; "", $E137 &lt;&gt; "", $D137 &gt;= $E137), "Start&gt;=End", ""), IF(OR($R137 = "", LEN($R137) &lt; 60, ISNUMBER(MATCH(TRIM($R137), StatusList, 0))), "Body overwritten/short", ""))) = "", "OK", _xlfn.TEXTJOIN(" | ", TRUE, IF($B137 = "", "Missing Title", ""), IF($C137 = "", "Missing Date", ""), IF($D137 = "", "Missing Start", ""), IF($E137 = "", "Missing End", ""), IF($G137 = "", "Missing Required Attendees", ""), IF($T137 = "", "Missing Status", ""), IF(AND($D137 &lt;&gt; "", $E137 &lt;&gt; "", $D137 &gt;= $E137), "Start&gt;=End", ""), IF(OR($R137 = "", LEN($R137) &lt; 60, ISNUMBER(MATCH(TRIM($R137), StatusList, 0))), "Body overwritten/short", "")))))</f>
        <v/>
      </c>
    </row>
    <row r="138" spans="1:22" ht="15" customHeight="1">
      <c r="A138" s="12" t="str">
        <f>IF(AND($B138&lt;&gt;"",$C138&lt;&gt;"",$D138&lt;&gt;"",$E138&lt;&gt;"",$G138&lt;&gt;""),
UPPER(
LEFT(TRIM(LEFT($G138,IFERROR(FIND(";",$G138)-1,999))),1)&amp;
IFERROR(
MID(TRIM(LEFT($G138,IFERROR(FIND(";",$G138)-1,999))),
FIND(" ",TRIM(LEFT($G138,IFERROR(FIND(";",$G138)-1,999))))+1,1),
MID(TRIM(LEFT($G138,IFERROR(FIND(";",$G138)-1,999))),2,1)
)
)&amp;"-"&amp;TEXT($C138,"yyyy-mm-dd"),
"")</f>
        <v/>
      </c>
      <c r="B138" s="25"/>
      <c r="C138" s="34"/>
      <c r="D138" s="38"/>
      <c r="E138" s="38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16" t="str">
        <f>IF($L138&lt;&gt;"","Purpose "&amp;CHAR(10)&amp;$L138&amp;CHAR(10)&amp;CHAR(10),"")&amp;
IF($M138&lt;&gt;"","Stops (in order) "&amp;CHAR(10)&amp;$M138&amp;CHAR(10)&amp;CHAR(10),"")&amp;
IF($N138&lt;&gt;"","To-Do (hard requirements) "&amp;CHAR(10)&amp;$N138&amp;CHAR(10)&amp;CHAR(10),"")&amp;
IF($O138&lt;&gt;"","Suggested Timeline "&amp;CHAR(10)&amp;$O138&amp;CHAR(10)&amp;CHAR(10),"")&amp;
IF($P138&lt;&gt;"","Guardrails "&amp;CHAR(10)&amp;$P138&amp;CHAR(10)&amp;CHAR(10),"")&amp;
IF($Q138&lt;&gt;"","Completion signals "&amp;CHAR(10)&amp;$Q138,"")</f>
        <v/>
      </c>
      <c r="S138" s="25"/>
      <c r="T138" s="25"/>
      <c r="U138" s="8"/>
      <c r="V138" s="8" t="str">
        <f>_xlfn.SINGLE(IF($B138 = "", "", IF(_xlfn.SINGLE(_xlfn.TEXTJOIN(" | ", TRUE, IF($B138 = "", "Missing Title", ""), IF($C138 = "", "Missing Date", ""), IF($D138 = "", "Missing Start", ""), IF($E138 = "", "Missing End", ""), IF($G138 = "", "Missing Required Attendees", ""), IF($T138 = "", "Missing Status", ""), IF(AND($D138 &lt;&gt; "", $E138 &lt;&gt; "", $D138 &gt;= $E138), "Start&gt;=End", ""), IF(OR($R138 = "", LEN($R138) &lt; 60, ISNUMBER(MATCH(TRIM($R138), StatusList, 0))), "Body overwritten/short", ""))) = "", "OK", _xlfn.TEXTJOIN(" | ", TRUE, IF($B138 = "", "Missing Title", ""), IF($C138 = "", "Missing Date", ""), IF($D138 = "", "Missing Start", ""), IF($E138 = "", "Missing End", ""), IF($G138 = "", "Missing Required Attendees", ""), IF($T138 = "", "Missing Status", ""), IF(AND($D138 &lt;&gt; "", $E138 &lt;&gt; "", $D138 &gt;= $E138), "Start&gt;=End", ""), IF(OR($R138 = "", LEN($R138) &lt; 60, ISNUMBER(MATCH(TRIM($R138), StatusList, 0))), "Body overwritten/short", "")))))</f>
        <v/>
      </c>
    </row>
    <row r="139" spans="1:22" ht="15" customHeight="1">
      <c r="A139" s="12" t="str">
        <f>IF(AND($B139&lt;&gt;"",$C139&lt;&gt;"",$D139&lt;&gt;"",$E139&lt;&gt;"",$G139&lt;&gt;""),
UPPER(
LEFT(TRIM(LEFT($G139,IFERROR(FIND(";",$G139)-1,999))),1)&amp;
IFERROR(
MID(TRIM(LEFT($G139,IFERROR(FIND(";",$G139)-1,999))),
FIND(" ",TRIM(LEFT($G139,IFERROR(FIND(";",$G139)-1,999))))+1,1),
MID(TRIM(LEFT($G139,IFERROR(FIND(";",$G139)-1,999))),2,1)
)
)&amp;"-"&amp;TEXT($C139,"yyyy-mm-dd"),
"")</f>
        <v/>
      </c>
      <c r="B139" s="25"/>
      <c r="C139" s="34"/>
      <c r="D139" s="38"/>
      <c r="E139" s="38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16" t="str">
        <f>IF($L139&lt;&gt;"","Purpose "&amp;CHAR(10)&amp;$L139&amp;CHAR(10)&amp;CHAR(10),"")&amp;
IF($M139&lt;&gt;"","Stops (in order) "&amp;CHAR(10)&amp;$M139&amp;CHAR(10)&amp;CHAR(10),"")&amp;
IF($N139&lt;&gt;"","To-Do (hard requirements) "&amp;CHAR(10)&amp;$N139&amp;CHAR(10)&amp;CHAR(10),"")&amp;
IF($O139&lt;&gt;"","Suggested Timeline "&amp;CHAR(10)&amp;$O139&amp;CHAR(10)&amp;CHAR(10),"")&amp;
IF($P139&lt;&gt;"","Guardrails "&amp;CHAR(10)&amp;$P139&amp;CHAR(10)&amp;CHAR(10),"")&amp;
IF($Q139&lt;&gt;"","Completion signals "&amp;CHAR(10)&amp;$Q139,"")</f>
        <v/>
      </c>
      <c r="S139" s="25"/>
      <c r="T139" s="25"/>
      <c r="U139" s="8"/>
      <c r="V139" s="8" t="str">
        <f>_xlfn.SINGLE(IF($B139 = "", "", IF(_xlfn.SINGLE(_xlfn.TEXTJOIN(" | ", TRUE, IF($B139 = "", "Missing Title", ""), IF($C139 = "", "Missing Date", ""), IF($D139 = "", "Missing Start", ""), IF($E139 = "", "Missing End", ""), IF($G139 = "", "Missing Required Attendees", ""), IF($T139 = "", "Missing Status", ""), IF(AND($D139 &lt;&gt; "", $E139 &lt;&gt; "", $D139 &gt;= $E139), "Start&gt;=End", ""), IF(OR($R139 = "", LEN($R139) &lt; 60, ISNUMBER(MATCH(TRIM($R139), StatusList, 0))), "Body overwritten/short", ""))) = "", "OK", _xlfn.TEXTJOIN(" | ", TRUE, IF($B139 = "", "Missing Title", ""), IF($C139 = "", "Missing Date", ""), IF($D139 = "", "Missing Start", ""), IF($E139 = "", "Missing End", ""), IF($G139 = "", "Missing Required Attendees", ""), IF($T139 = "", "Missing Status", ""), IF(AND($D139 &lt;&gt; "", $E139 &lt;&gt; "", $D139 &gt;= $E139), "Start&gt;=End", ""), IF(OR($R139 = "", LEN($R139) &lt; 60, ISNUMBER(MATCH(TRIM($R139), StatusList, 0))), "Body overwritten/short", "")))))</f>
        <v/>
      </c>
    </row>
    <row r="140" spans="1:22" ht="15" customHeight="1">
      <c r="A140" s="12" t="str">
        <f>IF(AND($B140&lt;&gt;"",$C140&lt;&gt;"",$D140&lt;&gt;"",$E140&lt;&gt;"",$G140&lt;&gt;""),
UPPER(
LEFT(TRIM(LEFT($G140,IFERROR(FIND(";",$G140)-1,999))),1)&amp;
IFERROR(
MID(TRIM(LEFT($G140,IFERROR(FIND(";",$G140)-1,999))),
FIND(" ",TRIM(LEFT($G140,IFERROR(FIND(";",$G140)-1,999))))+1,1),
MID(TRIM(LEFT($G140,IFERROR(FIND(";",$G140)-1,999))),2,1)
)
)&amp;"-"&amp;TEXT($C140,"yyyy-mm-dd"),
"")</f>
        <v/>
      </c>
      <c r="B140" s="25"/>
      <c r="C140" s="34"/>
      <c r="D140" s="38"/>
      <c r="E140" s="38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16" t="str">
        <f>IF($L140&lt;&gt;"","Purpose "&amp;CHAR(10)&amp;$L140&amp;CHAR(10)&amp;CHAR(10),"")&amp;
IF($M140&lt;&gt;"","Stops (in order) "&amp;CHAR(10)&amp;$M140&amp;CHAR(10)&amp;CHAR(10),"")&amp;
IF($N140&lt;&gt;"","To-Do (hard requirements) "&amp;CHAR(10)&amp;$N140&amp;CHAR(10)&amp;CHAR(10),"")&amp;
IF($O140&lt;&gt;"","Suggested Timeline "&amp;CHAR(10)&amp;$O140&amp;CHAR(10)&amp;CHAR(10),"")&amp;
IF($P140&lt;&gt;"","Guardrails "&amp;CHAR(10)&amp;$P140&amp;CHAR(10)&amp;CHAR(10),"")&amp;
IF($Q140&lt;&gt;"","Completion signals "&amp;CHAR(10)&amp;$Q140,"")</f>
        <v/>
      </c>
      <c r="S140" s="25"/>
      <c r="T140" s="25"/>
      <c r="U140" s="8"/>
      <c r="V140" s="8" t="str">
        <f>_xlfn.SINGLE(IF($B140 = "", "", IF(_xlfn.SINGLE(_xlfn.TEXTJOIN(" | ", TRUE, IF($B140 = "", "Missing Title", ""), IF($C140 = "", "Missing Date", ""), IF($D140 = "", "Missing Start", ""), IF($E140 = "", "Missing End", ""), IF($G140 = "", "Missing Required Attendees", ""), IF($T140 = "", "Missing Status", ""), IF(AND($D140 &lt;&gt; "", $E140 &lt;&gt; "", $D140 &gt;= $E140), "Start&gt;=End", ""), IF(OR($R140 = "", LEN($R140) &lt; 60, ISNUMBER(MATCH(TRIM($R140), StatusList, 0))), "Body overwritten/short", ""))) = "", "OK", _xlfn.TEXTJOIN(" | ", TRUE, IF($B140 = "", "Missing Title", ""), IF($C140 = "", "Missing Date", ""), IF($D140 = "", "Missing Start", ""), IF($E140 = "", "Missing End", ""), IF($G140 = "", "Missing Required Attendees", ""), IF($T140 = "", "Missing Status", ""), IF(AND($D140 &lt;&gt; "", $E140 &lt;&gt; "", $D140 &gt;= $E140), "Start&gt;=End", ""), IF(OR($R140 = "", LEN($R140) &lt; 60, ISNUMBER(MATCH(TRIM($R140), StatusList, 0))), "Body overwritten/short", "")))))</f>
        <v/>
      </c>
    </row>
    <row r="141" spans="1:22" ht="15" customHeight="1">
      <c r="A141" s="12" t="str">
        <f>IF(AND($B141&lt;&gt;"",$C141&lt;&gt;"",$D141&lt;&gt;"",$E141&lt;&gt;"",$G141&lt;&gt;""),
UPPER(
LEFT(TRIM(LEFT($G141,IFERROR(FIND(";",$G141)-1,999))),1)&amp;
IFERROR(
MID(TRIM(LEFT($G141,IFERROR(FIND(";",$G141)-1,999))),
FIND(" ",TRIM(LEFT($G141,IFERROR(FIND(";",$G141)-1,999))))+1,1),
MID(TRIM(LEFT($G141,IFERROR(FIND(";",$G141)-1,999))),2,1)
)
)&amp;"-"&amp;TEXT($C141,"yyyy-mm-dd"),
"")</f>
        <v/>
      </c>
      <c r="B141" s="25"/>
      <c r="C141" s="34"/>
      <c r="D141" s="38"/>
      <c r="E141" s="38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16" t="str">
        <f>IF($L141&lt;&gt;"","Purpose "&amp;CHAR(10)&amp;$L141&amp;CHAR(10)&amp;CHAR(10),"")&amp;
IF($M141&lt;&gt;"","Stops (in order) "&amp;CHAR(10)&amp;$M141&amp;CHAR(10)&amp;CHAR(10),"")&amp;
IF($N141&lt;&gt;"","To-Do (hard requirements) "&amp;CHAR(10)&amp;$N141&amp;CHAR(10)&amp;CHAR(10),"")&amp;
IF($O141&lt;&gt;"","Suggested Timeline "&amp;CHAR(10)&amp;$O141&amp;CHAR(10)&amp;CHAR(10),"")&amp;
IF($P141&lt;&gt;"","Guardrails "&amp;CHAR(10)&amp;$P141&amp;CHAR(10)&amp;CHAR(10),"")&amp;
IF($Q141&lt;&gt;"","Completion signals "&amp;CHAR(10)&amp;$Q141,"")</f>
        <v/>
      </c>
      <c r="S141" s="25"/>
      <c r="T141" s="25"/>
      <c r="U141" s="8"/>
      <c r="V141" s="8" t="str">
        <f>_xlfn.SINGLE(IF($B141 = "", "", IF(_xlfn.SINGLE(_xlfn.TEXTJOIN(" | ", TRUE, IF($B141 = "", "Missing Title", ""), IF($C141 = "", "Missing Date", ""), IF($D141 = "", "Missing Start", ""), IF($E141 = "", "Missing End", ""), IF($G141 = "", "Missing Required Attendees", ""), IF($T141 = "", "Missing Status", ""), IF(AND($D141 &lt;&gt; "", $E141 &lt;&gt; "", $D141 &gt;= $E141), "Start&gt;=End", ""), IF(OR($R141 = "", LEN($R141) &lt; 60, ISNUMBER(MATCH(TRIM($R141), StatusList, 0))), "Body overwritten/short", ""))) = "", "OK", _xlfn.TEXTJOIN(" | ", TRUE, IF($B141 = "", "Missing Title", ""), IF($C141 = "", "Missing Date", ""), IF($D141 = "", "Missing Start", ""), IF($E141 = "", "Missing End", ""), IF($G141 = "", "Missing Required Attendees", ""), IF($T141 = "", "Missing Status", ""), IF(AND($D141 &lt;&gt; "", $E141 &lt;&gt; "", $D141 &gt;= $E141), "Start&gt;=End", ""), IF(OR($R141 = "", LEN($R141) &lt; 60, ISNUMBER(MATCH(TRIM($R141), StatusList, 0))), "Body overwritten/short", "")))))</f>
        <v/>
      </c>
    </row>
    <row r="142" spans="1:22" ht="15" customHeight="1">
      <c r="A142" s="12" t="str">
        <f>IF(AND($B142&lt;&gt;"",$C142&lt;&gt;"",$D142&lt;&gt;"",$E142&lt;&gt;"",$G142&lt;&gt;""),
UPPER(
LEFT(TRIM(LEFT($G142,IFERROR(FIND(";",$G142)-1,999))),1)&amp;
IFERROR(
MID(TRIM(LEFT($G142,IFERROR(FIND(";",$G142)-1,999))),
FIND(" ",TRIM(LEFT($G142,IFERROR(FIND(";",$G142)-1,999))))+1,1),
MID(TRIM(LEFT($G142,IFERROR(FIND(";",$G142)-1,999))),2,1)
)
)&amp;"-"&amp;TEXT($C142,"yyyy-mm-dd"),
"")</f>
        <v/>
      </c>
      <c r="B142" s="25"/>
      <c r="C142" s="34"/>
      <c r="D142" s="38"/>
      <c r="E142" s="38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16" t="str">
        <f>IF($L142&lt;&gt;"","Purpose "&amp;CHAR(10)&amp;$L142&amp;CHAR(10)&amp;CHAR(10),"")&amp;
IF($M142&lt;&gt;"","Stops (in order) "&amp;CHAR(10)&amp;$M142&amp;CHAR(10)&amp;CHAR(10),"")&amp;
IF($N142&lt;&gt;"","To-Do (hard requirements) "&amp;CHAR(10)&amp;$N142&amp;CHAR(10)&amp;CHAR(10),"")&amp;
IF($O142&lt;&gt;"","Suggested Timeline "&amp;CHAR(10)&amp;$O142&amp;CHAR(10)&amp;CHAR(10),"")&amp;
IF($P142&lt;&gt;"","Guardrails "&amp;CHAR(10)&amp;$P142&amp;CHAR(10)&amp;CHAR(10),"")&amp;
IF($Q142&lt;&gt;"","Completion signals "&amp;CHAR(10)&amp;$Q142,"")</f>
        <v/>
      </c>
      <c r="S142" s="25"/>
      <c r="T142" s="25"/>
      <c r="U142" s="8"/>
      <c r="V142" s="8" t="str">
        <f>_xlfn.SINGLE(IF($B142 = "", "", IF(_xlfn.SINGLE(_xlfn.TEXTJOIN(" | ", TRUE, IF($B142 = "", "Missing Title", ""), IF($C142 = "", "Missing Date", ""), IF($D142 = "", "Missing Start", ""), IF($E142 = "", "Missing End", ""), IF($G142 = "", "Missing Required Attendees", ""), IF($T142 = "", "Missing Status", ""), IF(AND($D142 &lt;&gt; "", $E142 &lt;&gt; "", $D142 &gt;= $E142), "Start&gt;=End", ""), IF(OR($R142 = "", LEN($R142) &lt; 60, ISNUMBER(MATCH(TRIM($R142), StatusList, 0))), "Body overwritten/short", ""))) = "", "OK", _xlfn.TEXTJOIN(" | ", TRUE, IF($B142 = "", "Missing Title", ""), IF($C142 = "", "Missing Date", ""), IF($D142 = "", "Missing Start", ""), IF($E142 = "", "Missing End", ""), IF($G142 = "", "Missing Required Attendees", ""), IF($T142 = "", "Missing Status", ""), IF(AND($D142 &lt;&gt; "", $E142 &lt;&gt; "", $D142 &gt;= $E142), "Start&gt;=End", ""), IF(OR($R142 = "", LEN($R142) &lt; 60, ISNUMBER(MATCH(TRIM($R142), StatusList, 0))), "Body overwritten/short", "")))))</f>
        <v/>
      </c>
    </row>
    <row r="143" spans="1:22" ht="15" customHeight="1">
      <c r="A143" s="12" t="str">
        <f>IF(AND($B143&lt;&gt;"",$C143&lt;&gt;"",$D143&lt;&gt;"",$E143&lt;&gt;"",$G143&lt;&gt;""),
UPPER(
LEFT(TRIM(LEFT($G143,IFERROR(FIND(";",$G143)-1,999))),1)&amp;
IFERROR(
MID(TRIM(LEFT($G143,IFERROR(FIND(";",$G143)-1,999))),
FIND(" ",TRIM(LEFT($G143,IFERROR(FIND(";",$G143)-1,999))))+1,1),
MID(TRIM(LEFT($G143,IFERROR(FIND(";",$G143)-1,999))),2,1)
)
)&amp;"-"&amp;TEXT($C143,"yyyy-mm-dd"),
"")</f>
        <v/>
      </c>
      <c r="B143" s="25"/>
      <c r="C143" s="34"/>
      <c r="D143" s="38"/>
      <c r="E143" s="38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16" t="str">
        <f>IF($L143&lt;&gt;"","Purpose "&amp;CHAR(10)&amp;$L143&amp;CHAR(10)&amp;CHAR(10),"")&amp;
IF($M143&lt;&gt;"","Stops (in order) "&amp;CHAR(10)&amp;$M143&amp;CHAR(10)&amp;CHAR(10),"")&amp;
IF($N143&lt;&gt;"","To-Do (hard requirements) "&amp;CHAR(10)&amp;$N143&amp;CHAR(10)&amp;CHAR(10),"")&amp;
IF($O143&lt;&gt;"","Suggested Timeline "&amp;CHAR(10)&amp;$O143&amp;CHAR(10)&amp;CHAR(10),"")&amp;
IF($P143&lt;&gt;"","Guardrails "&amp;CHAR(10)&amp;$P143&amp;CHAR(10)&amp;CHAR(10),"")&amp;
IF($Q143&lt;&gt;"","Completion signals "&amp;CHAR(10)&amp;$Q143,"")</f>
        <v/>
      </c>
      <c r="S143" s="25"/>
      <c r="T143" s="25"/>
      <c r="U143" s="8"/>
      <c r="V143" s="8" t="str">
        <f>_xlfn.SINGLE(IF($B143 = "", "", IF(_xlfn.SINGLE(_xlfn.TEXTJOIN(" | ", TRUE, IF($B143 = "", "Missing Title", ""), IF($C143 = "", "Missing Date", ""), IF($D143 = "", "Missing Start", ""), IF($E143 = "", "Missing End", ""), IF($G143 = "", "Missing Required Attendees", ""), IF($T143 = "", "Missing Status", ""), IF(AND($D143 &lt;&gt; "", $E143 &lt;&gt; "", $D143 &gt;= $E143), "Start&gt;=End", ""), IF(OR($R143 = "", LEN($R143) &lt; 60, ISNUMBER(MATCH(TRIM($R143), StatusList, 0))), "Body overwritten/short", ""))) = "", "OK", _xlfn.TEXTJOIN(" | ", TRUE, IF($B143 = "", "Missing Title", ""), IF($C143 = "", "Missing Date", ""), IF($D143 = "", "Missing Start", ""), IF($E143 = "", "Missing End", ""), IF($G143 = "", "Missing Required Attendees", ""), IF($T143 = "", "Missing Status", ""), IF(AND($D143 &lt;&gt; "", $E143 &lt;&gt; "", $D143 &gt;= $E143), "Start&gt;=End", ""), IF(OR($R143 = "", LEN($R143) &lt; 60, ISNUMBER(MATCH(TRIM($R143), StatusList, 0))), "Body overwritten/short", "")))))</f>
        <v/>
      </c>
    </row>
    <row r="144" spans="1:22" ht="15" customHeight="1">
      <c r="A144" s="12" t="str">
        <f>IF(AND($B144&lt;&gt;"",$C144&lt;&gt;"",$D144&lt;&gt;"",$E144&lt;&gt;"",$G144&lt;&gt;""),
UPPER(
LEFT(TRIM(LEFT($G144,IFERROR(FIND(";",$G144)-1,999))),1)&amp;
IFERROR(
MID(TRIM(LEFT($G144,IFERROR(FIND(";",$G144)-1,999))),
FIND(" ",TRIM(LEFT($G144,IFERROR(FIND(";",$G144)-1,999))))+1,1),
MID(TRIM(LEFT($G144,IFERROR(FIND(";",$G144)-1,999))),2,1)
)
)&amp;"-"&amp;TEXT($C144,"yyyy-mm-dd"),
"")</f>
        <v/>
      </c>
      <c r="B144" s="25"/>
      <c r="C144" s="34"/>
      <c r="D144" s="38"/>
      <c r="E144" s="38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16" t="str">
        <f>IF($L144&lt;&gt;"","Purpose "&amp;CHAR(10)&amp;$L144&amp;CHAR(10)&amp;CHAR(10),"")&amp;
IF($M144&lt;&gt;"","Stops (in order) "&amp;CHAR(10)&amp;$M144&amp;CHAR(10)&amp;CHAR(10),"")&amp;
IF($N144&lt;&gt;"","To-Do (hard requirements) "&amp;CHAR(10)&amp;$N144&amp;CHAR(10)&amp;CHAR(10),"")&amp;
IF($O144&lt;&gt;"","Suggested Timeline "&amp;CHAR(10)&amp;$O144&amp;CHAR(10)&amp;CHAR(10),"")&amp;
IF($P144&lt;&gt;"","Guardrails "&amp;CHAR(10)&amp;$P144&amp;CHAR(10)&amp;CHAR(10),"")&amp;
IF($Q144&lt;&gt;"","Completion signals "&amp;CHAR(10)&amp;$Q144,"")</f>
        <v/>
      </c>
      <c r="S144" s="25"/>
      <c r="T144" s="25"/>
      <c r="U144" s="8"/>
      <c r="V144" s="8" t="str">
        <f>_xlfn.SINGLE(IF($B144 = "", "", IF(_xlfn.SINGLE(_xlfn.TEXTJOIN(" | ", TRUE, IF($B144 = "", "Missing Title", ""), IF($C144 = "", "Missing Date", ""), IF($D144 = "", "Missing Start", ""), IF($E144 = "", "Missing End", ""), IF($G144 = "", "Missing Required Attendees", ""), IF($T144 = "", "Missing Status", ""), IF(AND($D144 &lt;&gt; "", $E144 &lt;&gt; "", $D144 &gt;= $E144), "Start&gt;=End", ""), IF(OR($R144 = "", LEN($R144) &lt; 60, ISNUMBER(MATCH(TRIM($R144), StatusList, 0))), "Body overwritten/short", ""))) = "", "OK", _xlfn.TEXTJOIN(" | ", TRUE, IF($B144 = "", "Missing Title", ""), IF($C144 = "", "Missing Date", ""), IF($D144 = "", "Missing Start", ""), IF($E144 = "", "Missing End", ""), IF($G144 = "", "Missing Required Attendees", ""), IF($T144 = "", "Missing Status", ""), IF(AND($D144 &lt;&gt; "", $E144 &lt;&gt; "", $D144 &gt;= $E144), "Start&gt;=End", ""), IF(OR($R144 = "", LEN($R144) &lt; 60, ISNUMBER(MATCH(TRIM($R144), StatusList, 0))), "Body overwritten/short", "")))))</f>
        <v/>
      </c>
    </row>
    <row r="145" spans="1:22" ht="15" customHeight="1">
      <c r="A145" s="12" t="str">
        <f>IF(AND($B145&lt;&gt;"",$C145&lt;&gt;"",$D145&lt;&gt;"",$E145&lt;&gt;"",$G145&lt;&gt;""),
UPPER(
LEFT(TRIM(LEFT($G145,IFERROR(FIND(";",$G145)-1,999))),1)&amp;
IFERROR(
MID(TRIM(LEFT($G145,IFERROR(FIND(";",$G145)-1,999))),
FIND(" ",TRIM(LEFT($G145,IFERROR(FIND(";",$G145)-1,999))))+1,1),
MID(TRIM(LEFT($G145,IFERROR(FIND(";",$G145)-1,999))),2,1)
)
)&amp;"-"&amp;TEXT($C145,"yyyy-mm-dd"),
"")</f>
        <v/>
      </c>
      <c r="B145" s="25"/>
      <c r="C145" s="34"/>
      <c r="D145" s="38"/>
      <c r="E145" s="38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16" t="str">
        <f>IF($L145&lt;&gt;"","Purpose "&amp;CHAR(10)&amp;$L145&amp;CHAR(10)&amp;CHAR(10),"")&amp;
IF($M145&lt;&gt;"","Stops (in order) "&amp;CHAR(10)&amp;$M145&amp;CHAR(10)&amp;CHAR(10),"")&amp;
IF($N145&lt;&gt;"","To-Do (hard requirements) "&amp;CHAR(10)&amp;$N145&amp;CHAR(10)&amp;CHAR(10),"")&amp;
IF($O145&lt;&gt;"","Suggested Timeline "&amp;CHAR(10)&amp;$O145&amp;CHAR(10)&amp;CHAR(10),"")&amp;
IF($P145&lt;&gt;"","Guardrails "&amp;CHAR(10)&amp;$P145&amp;CHAR(10)&amp;CHAR(10),"")&amp;
IF($Q145&lt;&gt;"","Completion signals "&amp;CHAR(10)&amp;$Q145,"")</f>
        <v/>
      </c>
      <c r="S145" s="25"/>
      <c r="T145" s="25"/>
      <c r="U145" s="8"/>
      <c r="V145" s="8" t="str">
        <f>_xlfn.SINGLE(IF($B145 = "", "", IF(_xlfn.SINGLE(_xlfn.TEXTJOIN(" | ", TRUE, IF($B145 = "", "Missing Title", ""), IF($C145 = "", "Missing Date", ""), IF($D145 = "", "Missing Start", ""), IF($E145 = "", "Missing End", ""), IF($G145 = "", "Missing Required Attendees", ""), IF($T145 = "", "Missing Status", ""), IF(AND($D145 &lt;&gt; "", $E145 &lt;&gt; "", $D145 &gt;= $E145), "Start&gt;=End", ""), IF(OR($R145 = "", LEN($R145) &lt; 60, ISNUMBER(MATCH(TRIM($R145), StatusList, 0))), "Body overwritten/short", ""))) = "", "OK", _xlfn.TEXTJOIN(" | ", TRUE, IF($B145 = "", "Missing Title", ""), IF($C145 = "", "Missing Date", ""), IF($D145 = "", "Missing Start", ""), IF($E145 = "", "Missing End", ""), IF($G145 = "", "Missing Required Attendees", ""), IF($T145 = "", "Missing Status", ""), IF(AND($D145 &lt;&gt; "", $E145 &lt;&gt; "", $D145 &gt;= $E145), "Start&gt;=End", ""), IF(OR($R145 = "", LEN($R145) &lt; 60, ISNUMBER(MATCH(TRIM($R145), StatusList, 0))), "Body overwritten/short", "")))))</f>
        <v/>
      </c>
    </row>
    <row r="146" spans="1:22" ht="15" customHeight="1">
      <c r="A146" s="12" t="str">
        <f>IF(AND($B146&lt;&gt;"",$C146&lt;&gt;"",$D146&lt;&gt;"",$E146&lt;&gt;"",$G146&lt;&gt;""),
UPPER(
LEFT(TRIM(LEFT($G146,IFERROR(FIND(";",$G146)-1,999))),1)&amp;
IFERROR(
MID(TRIM(LEFT($G146,IFERROR(FIND(";",$G146)-1,999))),
FIND(" ",TRIM(LEFT($G146,IFERROR(FIND(";",$G146)-1,999))))+1,1),
MID(TRIM(LEFT($G146,IFERROR(FIND(";",$G146)-1,999))),2,1)
)
)&amp;"-"&amp;TEXT($C146,"yyyy-mm-dd"),
"")</f>
        <v/>
      </c>
      <c r="B146" s="25"/>
      <c r="C146" s="34"/>
      <c r="D146" s="38"/>
      <c r="E146" s="38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16" t="str">
        <f>IF($L146&lt;&gt;"","Purpose "&amp;CHAR(10)&amp;$L146&amp;CHAR(10)&amp;CHAR(10),"")&amp;
IF($M146&lt;&gt;"","Stops (in order) "&amp;CHAR(10)&amp;$M146&amp;CHAR(10)&amp;CHAR(10),"")&amp;
IF($N146&lt;&gt;"","To-Do (hard requirements) "&amp;CHAR(10)&amp;$N146&amp;CHAR(10)&amp;CHAR(10),"")&amp;
IF($O146&lt;&gt;"","Suggested Timeline "&amp;CHAR(10)&amp;$O146&amp;CHAR(10)&amp;CHAR(10),"")&amp;
IF($P146&lt;&gt;"","Guardrails "&amp;CHAR(10)&amp;$P146&amp;CHAR(10)&amp;CHAR(10),"")&amp;
IF($Q146&lt;&gt;"","Completion signals "&amp;CHAR(10)&amp;$Q146,"")</f>
        <v/>
      </c>
      <c r="S146" s="25"/>
      <c r="T146" s="25"/>
      <c r="U146" s="8"/>
      <c r="V146" s="8" t="str">
        <f>_xlfn.SINGLE(IF($B146 = "", "", IF(_xlfn.SINGLE(_xlfn.TEXTJOIN(" | ", TRUE, IF($B146 = "", "Missing Title", ""), IF($C146 = "", "Missing Date", ""), IF($D146 = "", "Missing Start", ""), IF($E146 = "", "Missing End", ""), IF($G146 = "", "Missing Required Attendees", ""), IF($T146 = "", "Missing Status", ""), IF(AND($D146 &lt;&gt; "", $E146 &lt;&gt; "", $D146 &gt;= $E146), "Start&gt;=End", ""), IF(OR($R146 = "", LEN($R146) &lt; 60, ISNUMBER(MATCH(TRIM($R146), StatusList, 0))), "Body overwritten/short", ""))) = "", "OK", _xlfn.TEXTJOIN(" | ", TRUE, IF($B146 = "", "Missing Title", ""), IF($C146 = "", "Missing Date", ""), IF($D146 = "", "Missing Start", ""), IF($E146 = "", "Missing End", ""), IF($G146 = "", "Missing Required Attendees", ""), IF($T146 = "", "Missing Status", ""), IF(AND($D146 &lt;&gt; "", $E146 &lt;&gt; "", $D146 &gt;= $E146), "Start&gt;=End", ""), IF(OR($R146 = "", LEN($R146) &lt; 60, ISNUMBER(MATCH(TRIM($R146), StatusList, 0))), "Body overwritten/short", "")))))</f>
        <v/>
      </c>
    </row>
    <row r="147" spans="1:22" ht="15" customHeight="1">
      <c r="A147" s="12" t="str">
        <f>IF(AND($B147&lt;&gt;"",$C147&lt;&gt;"",$D147&lt;&gt;"",$E147&lt;&gt;"",$G147&lt;&gt;""),
UPPER(
LEFT(TRIM(LEFT($G147,IFERROR(FIND(";",$G147)-1,999))),1)&amp;
IFERROR(
MID(TRIM(LEFT($G147,IFERROR(FIND(";",$G147)-1,999))),
FIND(" ",TRIM(LEFT($G147,IFERROR(FIND(";",$G147)-1,999))))+1,1),
MID(TRIM(LEFT($G147,IFERROR(FIND(";",$G147)-1,999))),2,1)
)
)&amp;"-"&amp;TEXT($C147,"yyyy-mm-dd"),
"")</f>
        <v/>
      </c>
      <c r="B147" s="25"/>
      <c r="C147" s="34"/>
      <c r="D147" s="38"/>
      <c r="E147" s="38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16" t="str">
        <f>IF($L147&lt;&gt;"","Purpose "&amp;CHAR(10)&amp;$L147&amp;CHAR(10)&amp;CHAR(10),"")&amp;
IF($M147&lt;&gt;"","Stops (in order) "&amp;CHAR(10)&amp;$M147&amp;CHAR(10)&amp;CHAR(10),"")&amp;
IF($N147&lt;&gt;"","To-Do (hard requirements) "&amp;CHAR(10)&amp;$N147&amp;CHAR(10)&amp;CHAR(10),"")&amp;
IF($O147&lt;&gt;"","Suggested Timeline "&amp;CHAR(10)&amp;$O147&amp;CHAR(10)&amp;CHAR(10),"")&amp;
IF($P147&lt;&gt;"","Guardrails "&amp;CHAR(10)&amp;$P147&amp;CHAR(10)&amp;CHAR(10),"")&amp;
IF($Q147&lt;&gt;"","Completion signals "&amp;CHAR(10)&amp;$Q147,"")</f>
        <v/>
      </c>
      <c r="S147" s="25"/>
      <c r="T147" s="25"/>
      <c r="U147" s="8"/>
      <c r="V147" s="8" t="str">
        <f>_xlfn.SINGLE(IF($B147 = "", "", IF(_xlfn.SINGLE(_xlfn.TEXTJOIN(" | ", TRUE, IF($B147 = "", "Missing Title", ""), IF($C147 = "", "Missing Date", ""), IF($D147 = "", "Missing Start", ""), IF($E147 = "", "Missing End", ""), IF($G147 = "", "Missing Required Attendees", ""), IF($T147 = "", "Missing Status", ""), IF(AND($D147 &lt;&gt; "", $E147 &lt;&gt; "", $D147 &gt;= $E147), "Start&gt;=End", ""), IF(OR($R147 = "", LEN($R147) &lt; 60, ISNUMBER(MATCH(TRIM($R147), StatusList, 0))), "Body overwritten/short", ""))) = "", "OK", _xlfn.TEXTJOIN(" | ", TRUE, IF($B147 = "", "Missing Title", ""), IF($C147 = "", "Missing Date", ""), IF($D147 = "", "Missing Start", ""), IF($E147 = "", "Missing End", ""), IF($G147 = "", "Missing Required Attendees", ""), IF($T147 = "", "Missing Status", ""), IF(AND($D147 &lt;&gt; "", $E147 &lt;&gt; "", $D147 &gt;= $E147), "Start&gt;=End", ""), IF(OR($R147 = "", LEN($R147) &lt; 60, ISNUMBER(MATCH(TRIM($R147), StatusList, 0))), "Body overwritten/short", "")))))</f>
        <v/>
      </c>
    </row>
    <row r="148" spans="1:22" ht="15" customHeight="1">
      <c r="A148" s="12" t="str">
        <f>IF(AND($B148&lt;&gt;"",$C148&lt;&gt;"",$D148&lt;&gt;"",$E148&lt;&gt;"",$G148&lt;&gt;""),
UPPER(
LEFT(TRIM(LEFT($G148,IFERROR(FIND(";",$G148)-1,999))),1)&amp;
IFERROR(
MID(TRIM(LEFT($G148,IFERROR(FIND(";",$G148)-1,999))),
FIND(" ",TRIM(LEFT($G148,IFERROR(FIND(";",$G148)-1,999))))+1,1),
MID(TRIM(LEFT($G148,IFERROR(FIND(";",$G148)-1,999))),2,1)
)
)&amp;"-"&amp;TEXT($C148,"yyyy-mm-dd"),
"")</f>
        <v/>
      </c>
      <c r="B148" s="25"/>
      <c r="C148" s="34"/>
      <c r="D148" s="38"/>
      <c r="E148" s="38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16" t="str">
        <f>IF($L148&lt;&gt;"","Purpose "&amp;CHAR(10)&amp;$L148&amp;CHAR(10)&amp;CHAR(10),"")&amp;
IF($M148&lt;&gt;"","Stops (in order) "&amp;CHAR(10)&amp;$M148&amp;CHAR(10)&amp;CHAR(10),"")&amp;
IF($N148&lt;&gt;"","To-Do (hard requirements) "&amp;CHAR(10)&amp;$N148&amp;CHAR(10)&amp;CHAR(10),"")&amp;
IF($O148&lt;&gt;"","Suggested Timeline "&amp;CHAR(10)&amp;$O148&amp;CHAR(10)&amp;CHAR(10),"")&amp;
IF($P148&lt;&gt;"","Guardrails "&amp;CHAR(10)&amp;$P148&amp;CHAR(10)&amp;CHAR(10),"")&amp;
IF($Q148&lt;&gt;"","Completion signals "&amp;CHAR(10)&amp;$Q148,"")</f>
        <v/>
      </c>
      <c r="S148" s="25"/>
      <c r="T148" s="25"/>
      <c r="U148" s="8"/>
      <c r="V148" s="8" t="str">
        <f>_xlfn.SINGLE(IF($B148 = "", "", IF(_xlfn.SINGLE(_xlfn.TEXTJOIN(" | ", TRUE, IF($B148 = "", "Missing Title", ""), IF($C148 = "", "Missing Date", ""), IF($D148 = "", "Missing Start", ""), IF($E148 = "", "Missing End", ""), IF($G148 = "", "Missing Required Attendees", ""), IF($T148 = "", "Missing Status", ""), IF(AND($D148 &lt;&gt; "", $E148 &lt;&gt; "", $D148 &gt;= $E148), "Start&gt;=End", ""), IF(OR($R148 = "", LEN($R148) &lt; 60, ISNUMBER(MATCH(TRIM($R148), StatusList, 0))), "Body overwritten/short", ""))) = "", "OK", _xlfn.TEXTJOIN(" | ", TRUE, IF($B148 = "", "Missing Title", ""), IF($C148 = "", "Missing Date", ""), IF($D148 = "", "Missing Start", ""), IF($E148 = "", "Missing End", ""), IF($G148 = "", "Missing Required Attendees", ""), IF($T148 = "", "Missing Status", ""), IF(AND($D148 &lt;&gt; "", $E148 &lt;&gt; "", $D148 &gt;= $E148), "Start&gt;=End", ""), IF(OR($R148 = "", LEN($R148) &lt; 60, ISNUMBER(MATCH(TRIM($R148), StatusList, 0))), "Body overwritten/short", "")))))</f>
        <v/>
      </c>
    </row>
    <row r="149" spans="1:22" ht="15" customHeight="1">
      <c r="A149" s="12" t="str">
        <f>IF(AND($B149&lt;&gt;"",$C149&lt;&gt;"",$D149&lt;&gt;"",$E149&lt;&gt;"",$G149&lt;&gt;""),
UPPER(
LEFT(TRIM(LEFT($G149,IFERROR(FIND(";",$G149)-1,999))),1)&amp;
IFERROR(
MID(TRIM(LEFT($G149,IFERROR(FIND(";",$G149)-1,999))),
FIND(" ",TRIM(LEFT($G149,IFERROR(FIND(";",$G149)-1,999))))+1,1),
MID(TRIM(LEFT($G149,IFERROR(FIND(";",$G149)-1,999))),2,1)
)
)&amp;"-"&amp;TEXT($C149,"yyyy-mm-dd"),
"")</f>
        <v/>
      </c>
      <c r="B149" s="25"/>
      <c r="C149" s="34"/>
      <c r="D149" s="38"/>
      <c r="E149" s="38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16" t="str">
        <f>IF($L149&lt;&gt;"","Purpose "&amp;CHAR(10)&amp;$L149&amp;CHAR(10)&amp;CHAR(10),"")&amp;
IF($M149&lt;&gt;"","Stops (in order) "&amp;CHAR(10)&amp;$M149&amp;CHAR(10)&amp;CHAR(10),"")&amp;
IF($N149&lt;&gt;"","To-Do (hard requirements) "&amp;CHAR(10)&amp;$N149&amp;CHAR(10)&amp;CHAR(10),"")&amp;
IF($O149&lt;&gt;"","Suggested Timeline "&amp;CHAR(10)&amp;$O149&amp;CHAR(10)&amp;CHAR(10),"")&amp;
IF($P149&lt;&gt;"","Guardrails "&amp;CHAR(10)&amp;$P149&amp;CHAR(10)&amp;CHAR(10),"")&amp;
IF($Q149&lt;&gt;"","Completion signals "&amp;CHAR(10)&amp;$Q149,"")</f>
        <v/>
      </c>
      <c r="S149" s="25"/>
      <c r="T149" s="25"/>
      <c r="U149" s="8"/>
      <c r="V149" s="8" t="str">
        <f>_xlfn.SINGLE(IF($B149 = "", "", IF(_xlfn.SINGLE(_xlfn.TEXTJOIN(" | ", TRUE, IF($B149 = "", "Missing Title", ""), IF($C149 = "", "Missing Date", ""), IF($D149 = "", "Missing Start", ""), IF($E149 = "", "Missing End", ""), IF($G149 = "", "Missing Required Attendees", ""), IF($T149 = "", "Missing Status", ""), IF(AND($D149 &lt;&gt; "", $E149 &lt;&gt; "", $D149 &gt;= $E149), "Start&gt;=End", ""), IF(OR($R149 = "", LEN($R149) &lt; 60, ISNUMBER(MATCH(TRIM($R149), StatusList, 0))), "Body overwritten/short", ""))) = "", "OK", _xlfn.TEXTJOIN(" | ", TRUE, IF($B149 = "", "Missing Title", ""), IF($C149 = "", "Missing Date", ""), IF($D149 = "", "Missing Start", ""), IF($E149 = "", "Missing End", ""), IF($G149 = "", "Missing Required Attendees", ""), IF($T149 = "", "Missing Status", ""), IF(AND($D149 &lt;&gt; "", $E149 &lt;&gt; "", $D149 &gt;= $E149), "Start&gt;=End", ""), IF(OR($R149 = "", LEN($R149) &lt; 60, ISNUMBER(MATCH(TRIM($R149), StatusList, 0))), "Body overwritten/short", "")))))</f>
        <v/>
      </c>
    </row>
    <row r="150" spans="1:22" ht="15" customHeight="1">
      <c r="A150" s="12" t="str">
        <f>IF(AND($B150&lt;&gt;"",$C150&lt;&gt;"",$D150&lt;&gt;"",$E150&lt;&gt;"",$G150&lt;&gt;""),
UPPER(
LEFT(TRIM(LEFT($G150,IFERROR(FIND(";",$G150)-1,999))),1)&amp;
IFERROR(
MID(TRIM(LEFT($G150,IFERROR(FIND(";",$G150)-1,999))),
FIND(" ",TRIM(LEFT($G150,IFERROR(FIND(";",$G150)-1,999))))+1,1),
MID(TRIM(LEFT($G150,IFERROR(FIND(";",$G150)-1,999))),2,1)
)
)&amp;"-"&amp;TEXT($C150,"yyyy-mm-dd"),
"")</f>
        <v/>
      </c>
      <c r="B150" s="25"/>
      <c r="C150" s="34"/>
      <c r="D150" s="38"/>
      <c r="E150" s="38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16" t="str">
        <f>IF($L150&lt;&gt;"","Purpose "&amp;CHAR(10)&amp;$L150&amp;CHAR(10)&amp;CHAR(10),"")&amp;
IF($M150&lt;&gt;"","Stops (in order) "&amp;CHAR(10)&amp;$M150&amp;CHAR(10)&amp;CHAR(10),"")&amp;
IF($N150&lt;&gt;"","To-Do (hard requirements) "&amp;CHAR(10)&amp;$N150&amp;CHAR(10)&amp;CHAR(10),"")&amp;
IF($O150&lt;&gt;"","Suggested Timeline "&amp;CHAR(10)&amp;$O150&amp;CHAR(10)&amp;CHAR(10),"")&amp;
IF($P150&lt;&gt;"","Guardrails "&amp;CHAR(10)&amp;$P150&amp;CHAR(10)&amp;CHAR(10),"")&amp;
IF($Q150&lt;&gt;"","Completion signals "&amp;CHAR(10)&amp;$Q150,"")</f>
        <v/>
      </c>
      <c r="S150" s="25"/>
      <c r="T150" s="25"/>
      <c r="U150" s="8"/>
      <c r="V150" s="8" t="str">
        <f>_xlfn.SINGLE(IF($B150 = "", "", IF(_xlfn.SINGLE(_xlfn.TEXTJOIN(" | ", TRUE, IF($B150 = "", "Missing Title", ""), IF($C150 = "", "Missing Date", ""), IF($D150 = "", "Missing Start", ""), IF($E150 = "", "Missing End", ""), IF($G150 = "", "Missing Required Attendees", ""), IF($T150 = "", "Missing Status", ""), IF(AND($D150 &lt;&gt; "", $E150 &lt;&gt; "", $D150 &gt;= $E150), "Start&gt;=End", ""), IF(OR($R150 = "", LEN($R150) &lt; 60, ISNUMBER(MATCH(TRIM($R150), StatusList, 0))), "Body overwritten/short", ""))) = "", "OK", _xlfn.TEXTJOIN(" | ", TRUE, IF($B150 = "", "Missing Title", ""), IF($C150 = "", "Missing Date", ""), IF($D150 = "", "Missing Start", ""), IF($E150 = "", "Missing End", ""), IF($G150 = "", "Missing Required Attendees", ""), IF($T150 = "", "Missing Status", ""), IF(AND($D150 &lt;&gt; "", $E150 &lt;&gt; "", $D150 &gt;= $E150), "Start&gt;=End", ""), IF(OR($R150 = "", LEN($R150) &lt; 60, ISNUMBER(MATCH(TRIM($R150), StatusList, 0))), "Body overwritten/short", "")))))</f>
        <v/>
      </c>
    </row>
    <row r="151" spans="1:22" ht="12.75" customHeight="1">
      <c r="A151" s="12"/>
      <c r="B151" s="25"/>
      <c r="C151" s="34"/>
      <c r="D151" s="38"/>
      <c r="E151" s="38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16" t="str">
        <f>IF($L151&lt;&gt;"","Purpose "&amp;CHAR(10)&amp;$L151&amp;CHAR(10)&amp;CHAR(10),"")&amp;
IF($M151&lt;&gt;"","Stops (in order) "&amp;CHAR(10)&amp;$M151&amp;CHAR(10)&amp;CHAR(10),"")&amp;
IF($N151&lt;&gt;"","To-Do (hard requirements) "&amp;CHAR(10)&amp;$N151&amp;CHAR(10)&amp;CHAR(10),"")&amp;
IF($O151&lt;&gt;"","Suggested Timeline "&amp;CHAR(10)&amp;$O151&amp;CHAR(10)&amp;CHAR(10),"")&amp;
IF($P151&lt;&gt;"","Guardrails "&amp;CHAR(10)&amp;$P151&amp;CHAR(10)&amp;CHAR(10),"")&amp;
IF($Q151&lt;&gt;"","Completion signals "&amp;CHAR(10)&amp;$Q151,"")</f>
        <v/>
      </c>
      <c r="S151" s="25"/>
      <c r="T151" s="25"/>
      <c r="U151" s="8"/>
      <c r="V151" s="8" t="str">
        <f>_xlfn.SINGLE(IF($B151 = "", "", IF(_xlfn.SINGLE(_xlfn.TEXTJOIN(" | ", TRUE, IF($B151 = "", "Missing Title", ""), IF($C151 = "", "Missing Date", ""), IF($D151 = "", "Missing Start", ""), IF($E151 = "", "Missing End", ""), IF($G151 = "", "Missing Required Attendees", ""), IF($T151 = "", "Missing Status", ""), IF(AND($D151 &lt;&gt; "", $E151 &lt;&gt; "", $D151 &gt;= $E151), "Start&gt;=End", ""), IF(OR($R151 = "", LEN($R151) &lt; 60, ISNUMBER(MATCH(TRIM($R151), StatusList, 0))), "Body overwritten/short", ""))) = "", "OK", _xlfn.TEXTJOIN(" | ", TRUE, IF($B151 = "", "Missing Title", ""), IF($C151 = "", "Missing Date", ""), IF($D151 = "", "Missing Start", ""), IF($E151 = "", "Missing End", ""), IF($G151 = "", "Missing Required Attendees", ""), IF($T151 = "", "Missing Status", ""), IF(AND($D151 &lt;&gt; "", $E151 &lt;&gt; "", $D151 &gt;= $E151), "Start&gt;=End", ""), IF(OR($R151 = "", LEN($R151) &lt; 60, ISNUMBER(MATCH(TRIM($R151), StatusList, 0))), "Body overwritten/short", "")))))</f>
        <v/>
      </c>
    </row>
    <row r="152" spans="1:22" ht="12.75" customHeight="1">
      <c r="A152" s="12"/>
      <c r="B152" s="25"/>
      <c r="C152" s="34"/>
      <c r="D152" s="38"/>
      <c r="E152" s="38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16" t="str">
        <f>IF($L152&lt;&gt;"","Purpose "&amp;CHAR(10)&amp;$L152&amp;CHAR(10)&amp;CHAR(10),"")&amp;
IF($M152&lt;&gt;"","Stops (in order) "&amp;CHAR(10)&amp;$M152&amp;CHAR(10)&amp;CHAR(10),"")&amp;
IF($N152&lt;&gt;"","To-Do (hard requirements) "&amp;CHAR(10)&amp;$N152&amp;CHAR(10)&amp;CHAR(10),"")&amp;
IF($O152&lt;&gt;"","Suggested Timeline "&amp;CHAR(10)&amp;$O152&amp;CHAR(10)&amp;CHAR(10),"")&amp;
IF($P152&lt;&gt;"","Guardrails "&amp;CHAR(10)&amp;$P152&amp;CHAR(10)&amp;CHAR(10),"")&amp;
IF($Q152&lt;&gt;"","Completion signals "&amp;CHAR(10)&amp;$Q152,"")</f>
        <v/>
      </c>
      <c r="S152" s="25"/>
      <c r="T152" s="25"/>
      <c r="U152" s="8"/>
      <c r="V152" s="8" t="str">
        <f>_xlfn.SINGLE(IF($B152 = "", "", IF(_xlfn.SINGLE(_xlfn.TEXTJOIN(" | ", TRUE, IF($B152 = "", "Missing Title", ""), IF($C152 = "", "Missing Date", ""), IF($D152 = "", "Missing Start", ""), IF($E152 = "", "Missing End", ""), IF($G152 = "", "Missing Required Attendees", ""), IF($T152 = "", "Missing Status", ""), IF(AND($D152 &lt;&gt; "", $E152 &lt;&gt; "", $D152 &gt;= $E152), "Start&gt;=End", ""), IF(OR($R152 = "", LEN($R152) &lt; 60, ISNUMBER(MATCH(TRIM($R152), StatusList, 0))), "Body overwritten/short", ""))) = "", "OK", _xlfn.TEXTJOIN(" | ", TRUE, IF($B152 = "", "Missing Title", ""), IF($C152 = "", "Missing Date", ""), IF($D152 = "", "Missing Start", ""), IF($E152 = "", "Missing End", ""), IF($G152 = "", "Missing Required Attendees", ""), IF($T152 = "", "Missing Status", ""), IF(AND($D152 &lt;&gt; "", $E152 &lt;&gt; "", $D152 &gt;= $E152), "Start&gt;=End", ""), IF(OR($R152 = "", LEN($R152) &lt; 60, ISNUMBER(MATCH(TRIM($R152), StatusList, 0))), "Body overwritten/short", "")))))</f>
        <v/>
      </c>
    </row>
    <row r="153" spans="1:22" ht="12.75" customHeight="1">
      <c r="A153" s="12"/>
      <c r="B153" s="25"/>
      <c r="C153" s="34"/>
      <c r="D153" s="38"/>
      <c r="E153" s="38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16" t="str">
        <f>IF($L153&lt;&gt;"","Purpose "&amp;CHAR(10)&amp;$L153&amp;CHAR(10)&amp;CHAR(10),"")&amp;
IF($M153&lt;&gt;"","Stops (in order) "&amp;CHAR(10)&amp;$M153&amp;CHAR(10)&amp;CHAR(10),"")&amp;
IF($N153&lt;&gt;"","To-Do (hard requirements) "&amp;CHAR(10)&amp;$N153&amp;CHAR(10)&amp;CHAR(10),"")&amp;
IF($O153&lt;&gt;"","Suggested Timeline "&amp;CHAR(10)&amp;$O153&amp;CHAR(10)&amp;CHAR(10),"")&amp;
IF($P153&lt;&gt;"","Guardrails "&amp;CHAR(10)&amp;$P153&amp;CHAR(10)&amp;CHAR(10),"")&amp;
IF($Q153&lt;&gt;"","Completion signals "&amp;CHAR(10)&amp;$Q153,"")</f>
        <v/>
      </c>
      <c r="S153" s="25"/>
      <c r="T153" s="25"/>
      <c r="U153" s="8"/>
      <c r="V153" s="8" t="str">
        <f>_xlfn.SINGLE(IF($B153 = "", "", IF(_xlfn.SINGLE(_xlfn.TEXTJOIN(" | ", TRUE, IF($B153 = "", "Missing Title", ""), IF($C153 = "", "Missing Date", ""), IF($D153 = "", "Missing Start", ""), IF($E153 = "", "Missing End", ""), IF($G153 = "", "Missing Required Attendees", ""), IF($T153 = "", "Missing Status", ""), IF(AND($D153 &lt;&gt; "", $E153 &lt;&gt; "", $D153 &gt;= $E153), "Start&gt;=End", ""), IF(OR($R153 = "", LEN($R153) &lt; 60, ISNUMBER(MATCH(TRIM($R153), StatusList, 0))), "Body overwritten/short", ""))) = "", "OK", _xlfn.TEXTJOIN(" | ", TRUE, IF($B153 = "", "Missing Title", ""), IF($C153 = "", "Missing Date", ""), IF($D153 = "", "Missing Start", ""), IF($E153 = "", "Missing End", ""), IF($G153 = "", "Missing Required Attendees", ""), IF($T153 = "", "Missing Status", ""), IF(AND($D153 &lt;&gt; "", $E153 &lt;&gt; "", $D153 &gt;= $E153), "Start&gt;=End", ""), IF(OR($R153 = "", LEN($R153) &lt; 60, ISNUMBER(MATCH(TRIM($R153), StatusList, 0))), "Body overwritten/short", "")))))</f>
        <v/>
      </c>
    </row>
    <row r="154" spans="1:22" ht="12.75" customHeight="1">
      <c r="A154" s="12"/>
      <c r="B154" s="25"/>
      <c r="C154" s="34"/>
      <c r="D154" s="38"/>
      <c r="E154" s="38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16" t="str">
        <f>IF($L154&lt;&gt;"","Purpose "&amp;CHAR(10)&amp;$L154&amp;CHAR(10)&amp;CHAR(10),"")&amp;
IF($M154&lt;&gt;"","Stops (in order) "&amp;CHAR(10)&amp;$M154&amp;CHAR(10)&amp;CHAR(10),"")&amp;
IF($N154&lt;&gt;"","To-Do (hard requirements) "&amp;CHAR(10)&amp;$N154&amp;CHAR(10)&amp;CHAR(10),"")&amp;
IF($O154&lt;&gt;"","Suggested Timeline "&amp;CHAR(10)&amp;$O154&amp;CHAR(10)&amp;CHAR(10),"")&amp;
IF($P154&lt;&gt;"","Guardrails "&amp;CHAR(10)&amp;$P154&amp;CHAR(10)&amp;CHAR(10),"")&amp;
IF($Q154&lt;&gt;"","Completion signals "&amp;CHAR(10)&amp;$Q154,"")</f>
        <v/>
      </c>
      <c r="S154" s="25"/>
      <c r="T154" s="25"/>
      <c r="U154" s="8"/>
      <c r="V154" s="8" t="str">
        <f>_xlfn.SINGLE(IF($B154 = "", "", IF(_xlfn.SINGLE(_xlfn.TEXTJOIN(" | ", TRUE, IF($B154 = "", "Missing Title", ""), IF($C154 = "", "Missing Date", ""), IF($D154 = "", "Missing Start", ""), IF($E154 = "", "Missing End", ""), IF($G154 = "", "Missing Required Attendees", ""), IF($T154 = "", "Missing Status", ""), IF(AND($D154 &lt;&gt; "", $E154 &lt;&gt; "", $D154 &gt;= $E154), "Start&gt;=End", ""), IF(OR($R154 = "", LEN($R154) &lt; 60, ISNUMBER(MATCH(TRIM($R154), StatusList, 0))), "Body overwritten/short", ""))) = "", "OK", _xlfn.TEXTJOIN(" | ", TRUE, IF($B154 = "", "Missing Title", ""), IF($C154 = "", "Missing Date", ""), IF($D154 = "", "Missing Start", ""), IF($E154 = "", "Missing End", ""), IF($G154 = "", "Missing Required Attendees", ""), IF($T154 = "", "Missing Status", ""), IF(AND($D154 &lt;&gt; "", $E154 &lt;&gt; "", $D154 &gt;= $E154), "Start&gt;=End", ""), IF(OR($R154 = "", LEN($R154) &lt; 60, ISNUMBER(MATCH(TRIM($R154), StatusList, 0))), "Body overwritten/short", "")))))</f>
        <v/>
      </c>
    </row>
    <row r="155" spans="1:22" ht="12.75" customHeight="1">
      <c r="A155" s="12"/>
      <c r="B155" s="25"/>
      <c r="C155" s="34"/>
      <c r="D155" s="38"/>
      <c r="E155" s="38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16" t="str">
        <f>IF($L155&lt;&gt;"","Purpose "&amp;CHAR(10)&amp;$L155&amp;CHAR(10)&amp;CHAR(10),"")&amp;
IF($M155&lt;&gt;"","Stops (in order) "&amp;CHAR(10)&amp;$M155&amp;CHAR(10)&amp;CHAR(10),"")&amp;
IF($N155&lt;&gt;"","To-Do (hard requirements) "&amp;CHAR(10)&amp;$N155&amp;CHAR(10)&amp;CHAR(10),"")&amp;
IF($O155&lt;&gt;"","Suggested Timeline "&amp;CHAR(10)&amp;$O155&amp;CHAR(10)&amp;CHAR(10),"")&amp;
IF($P155&lt;&gt;"","Guardrails "&amp;CHAR(10)&amp;$P155&amp;CHAR(10)&amp;CHAR(10),"")&amp;
IF($Q155&lt;&gt;"","Completion signals "&amp;CHAR(10)&amp;$Q155,"")</f>
        <v/>
      </c>
      <c r="S155" s="25"/>
      <c r="T155" s="25"/>
      <c r="U155" s="8"/>
      <c r="V155" s="8" t="str">
        <f>_xlfn.SINGLE(IF($B155 = "", "", IF(_xlfn.SINGLE(_xlfn.TEXTJOIN(" | ", TRUE, IF($B155 = "", "Missing Title", ""), IF($C155 = "", "Missing Date", ""), IF($D155 = "", "Missing Start", ""), IF($E155 = "", "Missing End", ""), IF($G155 = "", "Missing Required Attendees", ""), IF($T155 = "", "Missing Status", ""), IF(AND($D155 &lt;&gt; "", $E155 &lt;&gt; "", $D155 &gt;= $E155), "Start&gt;=End", ""), IF(OR($R155 = "", LEN($R155) &lt; 60, ISNUMBER(MATCH(TRIM($R155), StatusList, 0))), "Body overwritten/short", ""))) = "", "OK", _xlfn.TEXTJOIN(" | ", TRUE, IF($B155 = "", "Missing Title", ""), IF($C155 = "", "Missing Date", ""), IF($D155 = "", "Missing Start", ""), IF($E155 = "", "Missing End", ""), IF($G155 = "", "Missing Required Attendees", ""), IF($T155 = "", "Missing Status", ""), IF(AND($D155 &lt;&gt; "", $E155 &lt;&gt; "", $D155 &gt;= $E155), "Start&gt;=End", ""), IF(OR($R155 = "", LEN($R155) &lt; 60, ISNUMBER(MATCH(TRIM($R155), StatusList, 0))), "Body overwritten/short", "")))))</f>
        <v/>
      </c>
    </row>
    <row r="156" spans="1:22" ht="12.75" customHeight="1">
      <c r="A156" s="12"/>
      <c r="B156" s="25"/>
      <c r="C156" s="34"/>
      <c r="D156" s="38"/>
      <c r="E156" s="38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16" t="str">
        <f>IF($L156&lt;&gt;"","Purpose "&amp;CHAR(10)&amp;$L156&amp;CHAR(10)&amp;CHAR(10),"")&amp;
IF($M156&lt;&gt;"","Stops (in order) "&amp;CHAR(10)&amp;$M156&amp;CHAR(10)&amp;CHAR(10),"")&amp;
IF($N156&lt;&gt;"","To-Do (hard requirements) "&amp;CHAR(10)&amp;$N156&amp;CHAR(10)&amp;CHAR(10),"")&amp;
IF($O156&lt;&gt;"","Suggested Timeline "&amp;CHAR(10)&amp;$O156&amp;CHAR(10)&amp;CHAR(10),"")&amp;
IF($P156&lt;&gt;"","Guardrails "&amp;CHAR(10)&amp;$P156&amp;CHAR(10)&amp;CHAR(10),"")&amp;
IF($Q156&lt;&gt;"","Completion signals "&amp;CHAR(10)&amp;$Q156,"")</f>
        <v/>
      </c>
      <c r="S156" s="25"/>
      <c r="T156" s="25"/>
      <c r="U156" s="8"/>
      <c r="V156" s="8" t="str">
        <f>_xlfn.SINGLE(IF($B156 = "", "", IF(_xlfn.SINGLE(_xlfn.TEXTJOIN(" | ", TRUE, IF($B156 = "", "Missing Title", ""), IF($C156 = "", "Missing Date", ""), IF($D156 = "", "Missing Start", ""), IF($E156 = "", "Missing End", ""), IF($G156 = "", "Missing Required Attendees", ""), IF($T156 = "", "Missing Status", ""), IF(AND($D156 &lt;&gt; "", $E156 &lt;&gt; "", $D156 &gt;= $E156), "Start&gt;=End", ""), IF(OR($R156 = "", LEN($R156) &lt; 60, ISNUMBER(MATCH(TRIM($R156), StatusList, 0))), "Body overwritten/short", ""))) = "", "OK", _xlfn.TEXTJOIN(" | ", TRUE, IF($B156 = "", "Missing Title", ""), IF($C156 = "", "Missing Date", ""), IF($D156 = "", "Missing Start", ""), IF($E156 = "", "Missing End", ""), IF($G156 = "", "Missing Required Attendees", ""), IF($T156 = "", "Missing Status", ""), IF(AND($D156 &lt;&gt; "", $E156 &lt;&gt; "", $D156 &gt;= $E156), "Start&gt;=End", ""), IF(OR($R156 = "", LEN($R156) &lt; 60, ISNUMBER(MATCH(TRIM($R156), StatusList, 0))), "Body overwritten/short", "")))))</f>
        <v/>
      </c>
    </row>
    <row r="157" spans="1:22" ht="12.75" customHeight="1">
      <c r="A157" s="12"/>
      <c r="B157" s="25"/>
      <c r="C157" s="34"/>
      <c r="D157" s="38"/>
      <c r="E157" s="38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16" t="str">
        <f>IF($L157&lt;&gt;"","Purpose "&amp;CHAR(10)&amp;$L157&amp;CHAR(10)&amp;CHAR(10),"")&amp;
IF($M157&lt;&gt;"","Stops (in order) "&amp;CHAR(10)&amp;$M157&amp;CHAR(10)&amp;CHAR(10),"")&amp;
IF($N157&lt;&gt;"","To-Do (hard requirements) "&amp;CHAR(10)&amp;$N157&amp;CHAR(10)&amp;CHAR(10),"")&amp;
IF($O157&lt;&gt;"","Suggested Timeline "&amp;CHAR(10)&amp;$O157&amp;CHAR(10)&amp;CHAR(10),"")&amp;
IF($P157&lt;&gt;"","Guardrails "&amp;CHAR(10)&amp;$P157&amp;CHAR(10)&amp;CHAR(10),"")&amp;
IF($Q157&lt;&gt;"","Completion signals "&amp;CHAR(10)&amp;$Q157,"")</f>
        <v/>
      </c>
      <c r="S157" s="25"/>
      <c r="T157" s="25"/>
      <c r="U157" s="8"/>
      <c r="V157" s="8" t="str">
        <f>_xlfn.SINGLE(IF($B157 = "", "", IF(_xlfn.SINGLE(_xlfn.TEXTJOIN(" | ", TRUE, IF($B157 = "", "Missing Title", ""), IF($C157 = "", "Missing Date", ""), IF($D157 = "", "Missing Start", ""), IF($E157 = "", "Missing End", ""), IF($G157 = "", "Missing Required Attendees", ""), IF($T157 = "", "Missing Status", ""), IF(AND($D157 &lt;&gt; "", $E157 &lt;&gt; "", $D157 &gt;= $E157), "Start&gt;=End", ""), IF(OR($R157 = "", LEN($R157) &lt; 60, ISNUMBER(MATCH(TRIM($R157), StatusList, 0))), "Body overwritten/short", ""))) = "", "OK", _xlfn.TEXTJOIN(" | ", TRUE, IF($B157 = "", "Missing Title", ""), IF($C157 = "", "Missing Date", ""), IF($D157 = "", "Missing Start", ""), IF($E157 = "", "Missing End", ""), IF($G157 = "", "Missing Required Attendees", ""), IF($T157 = "", "Missing Status", ""), IF(AND($D157 &lt;&gt; "", $E157 &lt;&gt; "", $D157 &gt;= $E157), "Start&gt;=End", ""), IF(OR($R157 = "", LEN($R157) &lt; 60, ISNUMBER(MATCH(TRIM($R157), StatusList, 0))), "Body overwritten/short", "")))))</f>
        <v/>
      </c>
    </row>
    <row r="158" spans="1:22" ht="12.75" customHeight="1">
      <c r="A158" s="12"/>
      <c r="B158" s="25"/>
      <c r="C158" s="34"/>
      <c r="D158" s="38"/>
      <c r="E158" s="38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16" t="str">
        <f>IF($L158&lt;&gt;"","Purpose "&amp;CHAR(10)&amp;$L158&amp;CHAR(10)&amp;CHAR(10),"")&amp;
IF($M158&lt;&gt;"","Stops (in order) "&amp;CHAR(10)&amp;$M158&amp;CHAR(10)&amp;CHAR(10),"")&amp;
IF($N158&lt;&gt;"","To-Do (hard requirements) "&amp;CHAR(10)&amp;$N158&amp;CHAR(10)&amp;CHAR(10),"")&amp;
IF($O158&lt;&gt;"","Suggested Timeline "&amp;CHAR(10)&amp;$O158&amp;CHAR(10)&amp;CHAR(10),"")&amp;
IF($P158&lt;&gt;"","Guardrails "&amp;CHAR(10)&amp;$P158&amp;CHAR(10)&amp;CHAR(10),"")&amp;
IF($Q158&lt;&gt;"","Completion signals "&amp;CHAR(10)&amp;$Q158,"")</f>
        <v/>
      </c>
      <c r="S158" s="25"/>
      <c r="T158" s="25"/>
      <c r="U158" s="8"/>
      <c r="V158" s="8" t="str">
        <f>_xlfn.SINGLE(IF($B158 = "", "", IF(_xlfn.SINGLE(_xlfn.TEXTJOIN(" | ", TRUE, IF($B158 = "", "Missing Title", ""), IF($C158 = "", "Missing Date", ""), IF($D158 = "", "Missing Start", ""), IF($E158 = "", "Missing End", ""), IF($G158 = "", "Missing Required Attendees", ""), IF($T158 = "", "Missing Status", ""), IF(AND($D158 &lt;&gt; "", $E158 &lt;&gt; "", $D158 &gt;= $E158), "Start&gt;=End", ""), IF(OR($R158 = "", LEN($R158) &lt; 60, ISNUMBER(MATCH(TRIM($R158), StatusList, 0))), "Body overwritten/short", ""))) = "", "OK", _xlfn.TEXTJOIN(" | ", TRUE, IF($B158 = "", "Missing Title", ""), IF($C158 = "", "Missing Date", ""), IF($D158 = "", "Missing Start", ""), IF($E158 = "", "Missing End", ""), IF($G158 = "", "Missing Required Attendees", ""), IF($T158 = "", "Missing Status", ""), IF(AND($D158 &lt;&gt; "", $E158 &lt;&gt; "", $D158 &gt;= $E158), "Start&gt;=End", ""), IF(OR($R158 = "", LEN($R158) &lt; 60, ISNUMBER(MATCH(TRIM($R158), StatusList, 0))), "Body overwritten/short", "")))))</f>
        <v/>
      </c>
    </row>
    <row r="159" spans="1:22" ht="12.75" customHeight="1">
      <c r="A159" s="12"/>
      <c r="B159" s="25"/>
      <c r="C159" s="34"/>
      <c r="D159" s="38"/>
      <c r="E159" s="38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16" t="str">
        <f>IF($L159&lt;&gt;"","Purpose "&amp;CHAR(10)&amp;$L159&amp;CHAR(10)&amp;CHAR(10),"")&amp;
IF($M159&lt;&gt;"","Stops (in order) "&amp;CHAR(10)&amp;$M159&amp;CHAR(10)&amp;CHAR(10),"")&amp;
IF($N159&lt;&gt;"","To-Do (hard requirements) "&amp;CHAR(10)&amp;$N159&amp;CHAR(10)&amp;CHAR(10),"")&amp;
IF($O159&lt;&gt;"","Suggested Timeline "&amp;CHAR(10)&amp;$O159&amp;CHAR(10)&amp;CHAR(10),"")&amp;
IF($P159&lt;&gt;"","Guardrails "&amp;CHAR(10)&amp;$P159&amp;CHAR(10)&amp;CHAR(10),"")&amp;
IF($Q159&lt;&gt;"","Completion signals "&amp;CHAR(10)&amp;$Q159,"")</f>
        <v/>
      </c>
      <c r="S159" s="25"/>
      <c r="T159" s="25"/>
      <c r="U159" s="8"/>
      <c r="V159" s="8" t="str">
        <f>_xlfn.SINGLE(IF($B159 = "", "", IF(_xlfn.SINGLE(_xlfn.TEXTJOIN(" | ", TRUE, IF($B159 = "", "Missing Title", ""), IF($C159 = "", "Missing Date", ""), IF($D159 = "", "Missing Start", ""), IF($E159 = "", "Missing End", ""), IF($G159 = "", "Missing Required Attendees", ""), IF($T159 = "", "Missing Status", ""), IF(AND($D159 &lt;&gt; "", $E159 &lt;&gt; "", $D159 &gt;= $E159), "Start&gt;=End", ""), IF(OR($R159 = "", LEN($R159) &lt; 60, ISNUMBER(MATCH(TRIM($R159), StatusList, 0))), "Body overwritten/short", ""))) = "", "OK", _xlfn.TEXTJOIN(" | ", TRUE, IF($B159 = "", "Missing Title", ""), IF($C159 = "", "Missing Date", ""), IF($D159 = "", "Missing Start", ""), IF($E159 = "", "Missing End", ""), IF($G159 = "", "Missing Required Attendees", ""), IF($T159 = "", "Missing Status", ""), IF(AND($D159 &lt;&gt; "", $E159 &lt;&gt; "", $D159 &gt;= $E159), "Start&gt;=End", ""), IF(OR($R159 = "", LEN($R159) &lt; 60, ISNUMBER(MATCH(TRIM($R159), StatusList, 0))), "Body overwritten/short", "")))))</f>
        <v/>
      </c>
    </row>
    <row r="160" spans="1:22" ht="12.75" customHeight="1">
      <c r="A160" s="12"/>
      <c r="B160" s="25"/>
      <c r="C160" s="34"/>
      <c r="D160" s="38"/>
      <c r="E160" s="38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16" t="str">
        <f>IF($L160&lt;&gt;"","Purpose "&amp;CHAR(10)&amp;$L160&amp;CHAR(10)&amp;CHAR(10),"")&amp;
IF($M160&lt;&gt;"","Stops (in order) "&amp;CHAR(10)&amp;$M160&amp;CHAR(10)&amp;CHAR(10),"")&amp;
IF($N160&lt;&gt;"","To-Do (hard requirements) "&amp;CHAR(10)&amp;$N160&amp;CHAR(10)&amp;CHAR(10),"")&amp;
IF($O160&lt;&gt;"","Suggested Timeline "&amp;CHAR(10)&amp;$O160&amp;CHAR(10)&amp;CHAR(10),"")&amp;
IF($P160&lt;&gt;"","Guardrails "&amp;CHAR(10)&amp;$P160&amp;CHAR(10)&amp;CHAR(10),"")&amp;
IF($Q160&lt;&gt;"","Completion signals "&amp;CHAR(10)&amp;$Q160,"")</f>
        <v/>
      </c>
      <c r="S160" s="25"/>
      <c r="T160" s="25"/>
      <c r="U160" s="8"/>
      <c r="V160" s="8" t="str">
        <f>_xlfn.SINGLE(IF($B160 = "", "", IF(_xlfn.SINGLE(_xlfn.TEXTJOIN(" | ", TRUE, IF($B160 = "", "Missing Title", ""), IF($C160 = "", "Missing Date", ""), IF($D160 = "", "Missing Start", ""), IF($E160 = "", "Missing End", ""), IF($G160 = "", "Missing Required Attendees", ""), IF($T160 = "", "Missing Status", ""), IF(AND($D160 &lt;&gt; "", $E160 &lt;&gt; "", $D160 &gt;= $E160), "Start&gt;=End", ""), IF(OR($R160 = "", LEN($R160) &lt; 60, ISNUMBER(MATCH(TRIM($R160), StatusList, 0))), "Body overwritten/short", ""))) = "", "OK", _xlfn.TEXTJOIN(" | ", TRUE, IF($B160 = "", "Missing Title", ""), IF($C160 = "", "Missing Date", ""), IF($D160 = "", "Missing Start", ""), IF($E160 = "", "Missing End", ""), IF($G160 = "", "Missing Required Attendees", ""), IF($T160 = "", "Missing Status", ""), IF(AND($D160 &lt;&gt; "", $E160 &lt;&gt; "", $D160 &gt;= $E160), "Start&gt;=End", ""), IF(OR($R160 = "", LEN($R160) &lt; 60, ISNUMBER(MATCH(TRIM($R160), StatusList, 0))), "Body overwritten/short", "")))))</f>
        <v/>
      </c>
    </row>
    <row r="161" spans="2:22" ht="12.75" customHeight="1">
      <c r="B161" s="25"/>
      <c r="C161" s="34"/>
      <c r="D161" s="38"/>
      <c r="E161" s="38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16" t="str">
        <f>IF($L161&lt;&gt;"","Purpose "&amp;CHAR(10)&amp;$L161&amp;CHAR(10)&amp;CHAR(10),"")&amp;
IF($M161&lt;&gt;"","Stops (in order) "&amp;CHAR(10)&amp;$M161&amp;CHAR(10)&amp;CHAR(10),"")&amp;
IF($N161&lt;&gt;"","To-Do (hard requirements) "&amp;CHAR(10)&amp;$N161&amp;CHAR(10)&amp;CHAR(10),"")&amp;
IF($O161&lt;&gt;"","Suggested Timeline "&amp;CHAR(10)&amp;$O161&amp;CHAR(10)&amp;CHAR(10),"")&amp;
IF($P161&lt;&gt;"","Guardrails "&amp;CHAR(10)&amp;$P161&amp;CHAR(10)&amp;CHAR(10),"")&amp;
IF($Q161&lt;&gt;"","Completion signals "&amp;CHAR(10)&amp;$Q161,"")</f>
        <v/>
      </c>
      <c r="S161" s="25"/>
      <c r="T161" s="25"/>
      <c r="U161" s="8"/>
      <c r="V161" s="8" t="str">
        <f>_xlfn.SINGLE(IF($B161 = "", "", IF(_xlfn.SINGLE(_xlfn.TEXTJOIN(" | ", TRUE, IF($B161 = "", "Missing Title", ""), IF($C161 = "", "Missing Date", ""), IF($D161 = "", "Missing Start", ""), IF($E161 = "", "Missing End", ""), IF($G161 = "", "Missing Required Attendees", ""), IF($T161 = "", "Missing Status", ""), IF(AND($D161 &lt;&gt; "", $E161 &lt;&gt; "", $D161 &gt;= $E161), "Start&gt;=End", ""), IF(OR($R161 = "", LEN($R161) &lt; 60, ISNUMBER(MATCH(TRIM($R161), StatusList, 0))), "Body overwritten/short", ""))) = "", "OK", _xlfn.TEXTJOIN(" | ", TRUE, IF($B161 = "", "Missing Title", ""), IF($C161 = "", "Missing Date", ""), IF($D161 = "", "Missing Start", ""), IF($E161 = "", "Missing End", ""), IF($G161 = "", "Missing Required Attendees", ""), IF($T161 = "", "Missing Status", ""), IF(AND($D161 &lt;&gt; "", $E161 &lt;&gt; "", $D161 &gt;= $E161), "Start&gt;=End", ""), IF(OR($R161 = "", LEN($R161) &lt; 60, ISNUMBER(MATCH(TRIM($R161), StatusList, 0))), "Body overwritten/short", "")))))</f>
        <v/>
      </c>
    </row>
    <row r="162" spans="2:22" ht="12.75" customHeight="1">
      <c r="B162" s="25"/>
      <c r="C162" s="34"/>
      <c r="D162" s="38"/>
      <c r="E162" s="38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16" t="str">
        <f>IF($L162&lt;&gt;"","Purpose "&amp;CHAR(10)&amp;$L162&amp;CHAR(10)&amp;CHAR(10),"")&amp;
IF($M162&lt;&gt;"","Stops (in order) "&amp;CHAR(10)&amp;$M162&amp;CHAR(10)&amp;CHAR(10),"")&amp;
IF($N162&lt;&gt;"","To-Do (hard requirements) "&amp;CHAR(10)&amp;$N162&amp;CHAR(10)&amp;CHAR(10),"")&amp;
IF($O162&lt;&gt;"","Suggested Timeline "&amp;CHAR(10)&amp;$O162&amp;CHAR(10)&amp;CHAR(10),"")&amp;
IF($P162&lt;&gt;"","Guardrails "&amp;CHAR(10)&amp;$P162&amp;CHAR(10)&amp;CHAR(10),"")&amp;
IF($Q162&lt;&gt;"","Completion signals "&amp;CHAR(10)&amp;$Q162,"")</f>
        <v/>
      </c>
      <c r="S162" s="25"/>
      <c r="T162" s="25"/>
      <c r="U162" s="8"/>
      <c r="V162" s="8" t="str">
        <f>_xlfn.SINGLE(IF($B162 = "", "", IF(_xlfn.SINGLE(_xlfn.TEXTJOIN(" | ", TRUE, IF($B162 = "", "Missing Title", ""), IF($C162 = "", "Missing Date", ""), IF($D162 = "", "Missing Start", ""), IF($E162 = "", "Missing End", ""), IF($G162 = "", "Missing Required Attendees", ""), IF($T162 = "", "Missing Status", ""), IF(AND($D162 &lt;&gt; "", $E162 &lt;&gt; "", $D162 &gt;= $E162), "Start&gt;=End", ""), IF(OR($R162 = "", LEN($R162) &lt; 60, ISNUMBER(MATCH(TRIM($R162), StatusList, 0))), "Body overwritten/short", ""))) = "", "OK", _xlfn.TEXTJOIN(" | ", TRUE, IF($B162 = "", "Missing Title", ""), IF($C162 = "", "Missing Date", ""), IF($D162 = "", "Missing Start", ""), IF($E162 = "", "Missing End", ""), IF($G162 = "", "Missing Required Attendees", ""), IF($T162 = "", "Missing Status", ""), IF(AND($D162 &lt;&gt; "", $E162 &lt;&gt; "", $D162 &gt;= $E162), "Start&gt;=End", ""), IF(OR($R162 = "", LEN($R162) &lt; 60, ISNUMBER(MATCH(TRIM($R162), StatusList, 0))), "Body overwritten/short", "")))))</f>
        <v/>
      </c>
    </row>
    <row r="163" spans="2:22" ht="12.75" customHeight="1">
      <c r="B163" s="25"/>
      <c r="C163" s="34"/>
      <c r="D163" s="38"/>
      <c r="E163" s="38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16" t="str">
        <f>IF($L163&lt;&gt;"","Purpose "&amp;CHAR(10)&amp;$L163&amp;CHAR(10)&amp;CHAR(10),"")&amp;
IF($M163&lt;&gt;"","Stops (in order) "&amp;CHAR(10)&amp;$M163&amp;CHAR(10)&amp;CHAR(10),"")&amp;
IF($N163&lt;&gt;"","To-Do (hard requirements) "&amp;CHAR(10)&amp;$N163&amp;CHAR(10)&amp;CHAR(10),"")&amp;
IF($O163&lt;&gt;"","Suggested Timeline "&amp;CHAR(10)&amp;$O163&amp;CHAR(10)&amp;CHAR(10),"")&amp;
IF($P163&lt;&gt;"","Guardrails "&amp;CHAR(10)&amp;$P163&amp;CHAR(10)&amp;CHAR(10),"")&amp;
IF($Q163&lt;&gt;"","Completion signals "&amp;CHAR(10)&amp;$Q163,"")</f>
        <v/>
      </c>
      <c r="S163" s="25"/>
      <c r="T163" s="25"/>
      <c r="U163" s="8"/>
      <c r="V163" s="8" t="str">
        <f>_xlfn.SINGLE(IF($B163 = "", "", IF(_xlfn.SINGLE(_xlfn.TEXTJOIN(" | ", TRUE, IF($B163 = "", "Missing Title", ""), IF($C163 = "", "Missing Date", ""), IF($D163 = "", "Missing Start", ""), IF($E163 = "", "Missing End", ""), IF($G163 = "", "Missing Required Attendees", ""), IF($T163 = "", "Missing Status", ""), IF(AND($D163 &lt;&gt; "", $E163 &lt;&gt; "", $D163 &gt;= $E163), "Start&gt;=End", ""), IF(OR($R163 = "", LEN($R163) &lt; 60, ISNUMBER(MATCH(TRIM($R163), StatusList, 0))), "Body overwritten/short", ""))) = "", "OK", _xlfn.TEXTJOIN(" | ", TRUE, IF($B163 = "", "Missing Title", ""), IF($C163 = "", "Missing Date", ""), IF($D163 = "", "Missing Start", ""), IF($E163 = "", "Missing End", ""), IF($G163 = "", "Missing Required Attendees", ""), IF($T163 = "", "Missing Status", ""), IF(AND($D163 &lt;&gt; "", $E163 &lt;&gt; "", $D163 &gt;= $E163), "Start&gt;=End", ""), IF(OR($R163 = "", LEN($R163) &lt; 60, ISNUMBER(MATCH(TRIM($R163), StatusList, 0))), "Body overwritten/short", "")))))</f>
        <v/>
      </c>
    </row>
    <row r="164" spans="2:22" ht="12.75" customHeight="1">
      <c r="B164" s="25"/>
      <c r="C164" s="34"/>
      <c r="D164" s="38"/>
      <c r="E164" s="38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16" t="str">
        <f>IF($L164&lt;&gt;"","Purpose "&amp;CHAR(10)&amp;$L164&amp;CHAR(10)&amp;CHAR(10),"")&amp;
IF($M164&lt;&gt;"","Stops (in order) "&amp;CHAR(10)&amp;$M164&amp;CHAR(10)&amp;CHAR(10),"")&amp;
IF($N164&lt;&gt;"","To-Do (hard requirements) "&amp;CHAR(10)&amp;$N164&amp;CHAR(10)&amp;CHAR(10),"")&amp;
IF($O164&lt;&gt;"","Suggested Timeline "&amp;CHAR(10)&amp;$O164&amp;CHAR(10)&amp;CHAR(10),"")&amp;
IF($P164&lt;&gt;"","Guardrails "&amp;CHAR(10)&amp;$P164&amp;CHAR(10)&amp;CHAR(10),"")&amp;
IF($Q164&lt;&gt;"","Completion signals "&amp;CHAR(10)&amp;$Q164,"")</f>
        <v/>
      </c>
      <c r="S164" s="25"/>
      <c r="T164" s="25"/>
      <c r="U164" s="8"/>
      <c r="V164" s="8" t="str">
        <f>_xlfn.SINGLE(IF($B164 = "", "", IF(_xlfn.SINGLE(_xlfn.TEXTJOIN(" | ", TRUE, IF($B164 = "", "Missing Title", ""), IF($C164 = "", "Missing Date", ""), IF($D164 = "", "Missing Start", ""), IF($E164 = "", "Missing End", ""), IF($G164 = "", "Missing Required Attendees", ""), IF($T164 = "", "Missing Status", ""), IF(AND($D164 &lt;&gt; "", $E164 &lt;&gt; "", $D164 &gt;= $E164), "Start&gt;=End", ""), IF(OR($R164 = "", LEN($R164) &lt; 60, ISNUMBER(MATCH(TRIM($R164), StatusList, 0))), "Body overwritten/short", ""))) = "", "OK", _xlfn.TEXTJOIN(" | ", TRUE, IF($B164 = "", "Missing Title", ""), IF($C164 = "", "Missing Date", ""), IF($D164 = "", "Missing Start", ""), IF($E164 = "", "Missing End", ""), IF($G164 = "", "Missing Required Attendees", ""), IF($T164 = "", "Missing Status", ""), IF(AND($D164 &lt;&gt; "", $E164 &lt;&gt; "", $D164 &gt;= $E164), "Start&gt;=End", ""), IF(OR($R164 = "", LEN($R164) &lt; 60, ISNUMBER(MATCH(TRIM($R164), StatusList, 0))), "Body overwritten/short", "")))))</f>
        <v/>
      </c>
    </row>
    <row r="165" spans="2:22" ht="12.75" customHeight="1">
      <c r="B165" s="25"/>
      <c r="C165" s="34"/>
      <c r="D165" s="38"/>
      <c r="E165" s="38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16" t="str">
        <f>IF($L165&lt;&gt;"","Purpose "&amp;CHAR(10)&amp;$L165&amp;CHAR(10)&amp;CHAR(10),"")&amp;
IF($M165&lt;&gt;"","Stops (in order) "&amp;CHAR(10)&amp;$M165&amp;CHAR(10)&amp;CHAR(10),"")&amp;
IF($N165&lt;&gt;"","To-Do (hard requirements) "&amp;CHAR(10)&amp;$N165&amp;CHAR(10)&amp;CHAR(10),"")&amp;
IF($O165&lt;&gt;"","Suggested Timeline "&amp;CHAR(10)&amp;$O165&amp;CHAR(10)&amp;CHAR(10),"")&amp;
IF($P165&lt;&gt;"","Guardrails "&amp;CHAR(10)&amp;$P165&amp;CHAR(10)&amp;CHAR(10),"")&amp;
IF($Q165&lt;&gt;"","Completion signals "&amp;CHAR(10)&amp;$Q165,"")</f>
        <v/>
      </c>
      <c r="S165" s="25"/>
      <c r="T165" s="25"/>
      <c r="U165" s="8"/>
      <c r="V165" s="8" t="str">
        <f>_xlfn.SINGLE(IF($B165 = "", "", IF(_xlfn.SINGLE(_xlfn.TEXTJOIN(" | ", TRUE, IF($B165 = "", "Missing Title", ""), IF($C165 = "", "Missing Date", ""), IF($D165 = "", "Missing Start", ""), IF($E165 = "", "Missing End", ""), IF($G165 = "", "Missing Required Attendees", ""), IF($T165 = "", "Missing Status", ""), IF(AND($D165 &lt;&gt; "", $E165 &lt;&gt; "", $D165 &gt;= $E165), "Start&gt;=End", ""), IF(OR($R165 = "", LEN($R165) &lt; 60, ISNUMBER(MATCH(TRIM($R165), StatusList, 0))), "Body overwritten/short", ""))) = "", "OK", _xlfn.TEXTJOIN(" | ", TRUE, IF($B165 = "", "Missing Title", ""), IF($C165 = "", "Missing Date", ""), IF($D165 = "", "Missing Start", ""), IF($E165 = "", "Missing End", ""), IF($G165 = "", "Missing Required Attendees", ""), IF($T165 = "", "Missing Status", ""), IF(AND($D165 &lt;&gt; "", $E165 &lt;&gt; "", $D165 &gt;= $E165), "Start&gt;=End", ""), IF(OR($R165 = "", LEN($R165) &lt; 60, ISNUMBER(MATCH(TRIM($R165), StatusList, 0))), "Body overwritten/short", "")))))</f>
        <v/>
      </c>
    </row>
    <row r="166" spans="2:22" ht="12.75" customHeight="1">
      <c r="B166" s="25"/>
      <c r="C166" s="34"/>
      <c r="D166" s="38"/>
      <c r="E166" s="38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16" t="str">
        <f>IF($L166&lt;&gt;"","Purpose "&amp;CHAR(10)&amp;$L166&amp;CHAR(10)&amp;CHAR(10),"")&amp;
IF($M166&lt;&gt;"","Stops (in order) "&amp;CHAR(10)&amp;$M166&amp;CHAR(10)&amp;CHAR(10),"")&amp;
IF($N166&lt;&gt;"","To-Do (hard requirements) "&amp;CHAR(10)&amp;$N166&amp;CHAR(10)&amp;CHAR(10),"")&amp;
IF($O166&lt;&gt;"","Suggested Timeline "&amp;CHAR(10)&amp;$O166&amp;CHAR(10)&amp;CHAR(10),"")&amp;
IF($P166&lt;&gt;"","Guardrails "&amp;CHAR(10)&amp;$P166&amp;CHAR(10)&amp;CHAR(10),"")&amp;
IF($Q166&lt;&gt;"","Completion signals "&amp;CHAR(10)&amp;$Q166,"")</f>
        <v/>
      </c>
      <c r="S166" s="25"/>
      <c r="T166" s="25"/>
      <c r="U166" s="8"/>
      <c r="V166" s="8" t="str">
        <f>_xlfn.SINGLE(IF($B166 = "", "", IF(_xlfn.SINGLE(_xlfn.TEXTJOIN(" | ", TRUE, IF($B166 = "", "Missing Title", ""), IF($C166 = "", "Missing Date", ""), IF($D166 = "", "Missing Start", ""), IF($E166 = "", "Missing End", ""), IF($G166 = "", "Missing Required Attendees", ""), IF($T166 = "", "Missing Status", ""), IF(AND($D166 &lt;&gt; "", $E166 &lt;&gt; "", $D166 &gt;= $E166), "Start&gt;=End", ""), IF(OR($R166 = "", LEN($R166) &lt; 60, ISNUMBER(MATCH(TRIM($R166), StatusList, 0))), "Body overwritten/short", ""))) = "", "OK", _xlfn.TEXTJOIN(" | ", TRUE, IF($B166 = "", "Missing Title", ""), IF($C166 = "", "Missing Date", ""), IF($D166 = "", "Missing Start", ""), IF($E166 = "", "Missing End", ""), IF($G166 = "", "Missing Required Attendees", ""), IF($T166 = "", "Missing Status", ""), IF(AND($D166 &lt;&gt; "", $E166 &lt;&gt; "", $D166 &gt;= $E166), "Start&gt;=End", ""), IF(OR($R166 = "", LEN($R166) &lt; 60, ISNUMBER(MATCH(TRIM($R166), StatusList, 0))), "Body overwritten/short", "")))))</f>
        <v/>
      </c>
    </row>
    <row r="167" spans="2:22" ht="12.75" customHeight="1">
      <c r="B167" s="25"/>
      <c r="C167" s="34"/>
      <c r="D167" s="38"/>
      <c r="E167" s="38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16" t="str">
        <f>IF($L167&lt;&gt;"","Purpose "&amp;CHAR(10)&amp;$L167&amp;CHAR(10)&amp;CHAR(10),"")&amp;
IF($M167&lt;&gt;"","Stops (in order) "&amp;CHAR(10)&amp;$M167&amp;CHAR(10)&amp;CHAR(10),"")&amp;
IF($N167&lt;&gt;"","To-Do (hard requirements) "&amp;CHAR(10)&amp;$N167&amp;CHAR(10)&amp;CHAR(10),"")&amp;
IF($O167&lt;&gt;"","Suggested Timeline "&amp;CHAR(10)&amp;$O167&amp;CHAR(10)&amp;CHAR(10),"")&amp;
IF($P167&lt;&gt;"","Guardrails "&amp;CHAR(10)&amp;$P167&amp;CHAR(10)&amp;CHAR(10),"")&amp;
IF($Q167&lt;&gt;"","Completion signals "&amp;CHAR(10)&amp;$Q167,"")</f>
        <v/>
      </c>
      <c r="S167" s="25"/>
      <c r="T167" s="25"/>
      <c r="U167" s="8"/>
      <c r="V167" s="8" t="str">
        <f>_xlfn.SINGLE(IF($B167 = "", "", IF(_xlfn.SINGLE(_xlfn.TEXTJOIN(" | ", TRUE, IF($B167 = "", "Missing Title", ""), IF($C167 = "", "Missing Date", ""), IF($D167 = "", "Missing Start", ""), IF($E167 = "", "Missing End", ""), IF($G167 = "", "Missing Required Attendees", ""), IF($T167 = "", "Missing Status", ""), IF(AND($D167 &lt;&gt; "", $E167 &lt;&gt; "", $D167 &gt;= $E167), "Start&gt;=End", ""), IF(OR($R167 = "", LEN($R167) &lt; 60, ISNUMBER(MATCH(TRIM($R167), StatusList, 0))), "Body overwritten/short", ""))) = "", "OK", _xlfn.TEXTJOIN(" | ", TRUE, IF($B167 = "", "Missing Title", ""), IF($C167 = "", "Missing Date", ""), IF($D167 = "", "Missing Start", ""), IF($E167 = "", "Missing End", ""), IF($G167 = "", "Missing Required Attendees", ""), IF($T167 = "", "Missing Status", ""), IF(AND($D167 &lt;&gt; "", $E167 &lt;&gt; "", $D167 &gt;= $E167), "Start&gt;=End", ""), IF(OR($R167 = "", LEN($R167) &lt; 60, ISNUMBER(MATCH(TRIM($R167), StatusList, 0))), "Body overwritten/short", "")))))</f>
        <v/>
      </c>
    </row>
    <row r="168" spans="2:22" ht="12.75" customHeight="1">
      <c r="B168" s="25"/>
      <c r="C168" s="34"/>
      <c r="D168" s="38"/>
      <c r="E168" s="38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16" t="str">
        <f>IF($L168&lt;&gt;"","Purpose "&amp;CHAR(10)&amp;$L168&amp;CHAR(10)&amp;CHAR(10),"")&amp;
IF($M168&lt;&gt;"","Stops (in order) "&amp;CHAR(10)&amp;$M168&amp;CHAR(10)&amp;CHAR(10),"")&amp;
IF($N168&lt;&gt;"","To-Do (hard requirements) "&amp;CHAR(10)&amp;$N168&amp;CHAR(10)&amp;CHAR(10),"")&amp;
IF($O168&lt;&gt;"","Suggested Timeline "&amp;CHAR(10)&amp;$O168&amp;CHAR(10)&amp;CHAR(10),"")&amp;
IF($P168&lt;&gt;"","Guardrails "&amp;CHAR(10)&amp;$P168&amp;CHAR(10)&amp;CHAR(10),"")&amp;
IF($Q168&lt;&gt;"","Completion signals "&amp;CHAR(10)&amp;$Q168,"")</f>
        <v/>
      </c>
      <c r="S168" s="25"/>
      <c r="T168" s="25"/>
      <c r="U168" s="8"/>
      <c r="V168" s="8" t="str">
        <f>_xlfn.SINGLE(IF($B168 = "", "", IF(_xlfn.SINGLE(_xlfn.TEXTJOIN(" | ", TRUE, IF($B168 = "", "Missing Title", ""), IF($C168 = "", "Missing Date", ""), IF($D168 = "", "Missing Start", ""), IF($E168 = "", "Missing End", ""), IF($G168 = "", "Missing Required Attendees", ""), IF($T168 = "", "Missing Status", ""), IF(AND($D168 &lt;&gt; "", $E168 &lt;&gt; "", $D168 &gt;= $E168), "Start&gt;=End", ""), IF(OR($R168 = "", LEN($R168) &lt; 60, ISNUMBER(MATCH(TRIM($R168), StatusList, 0))), "Body overwritten/short", ""))) = "", "OK", _xlfn.TEXTJOIN(" | ", TRUE, IF($B168 = "", "Missing Title", ""), IF($C168 = "", "Missing Date", ""), IF($D168 = "", "Missing Start", ""), IF($E168 = "", "Missing End", ""), IF($G168 = "", "Missing Required Attendees", ""), IF($T168 = "", "Missing Status", ""), IF(AND($D168 &lt;&gt; "", $E168 &lt;&gt; "", $D168 &gt;= $E168), "Start&gt;=End", ""), IF(OR($R168 = "", LEN($R168) &lt; 60, ISNUMBER(MATCH(TRIM($R168), StatusList, 0))), "Body overwritten/short", "")))))</f>
        <v/>
      </c>
    </row>
    <row r="169" spans="2:22" ht="12.75" customHeight="1">
      <c r="B169" s="25"/>
      <c r="C169" s="34"/>
      <c r="D169" s="38"/>
      <c r="E169" s="38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16" t="str">
        <f>IF($L169&lt;&gt;"","Purpose "&amp;CHAR(10)&amp;$L169&amp;CHAR(10)&amp;CHAR(10),"")&amp;
IF($M169&lt;&gt;"","Stops (in order) "&amp;CHAR(10)&amp;$M169&amp;CHAR(10)&amp;CHAR(10),"")&amp;
IF($N169&lt;&gt;"","To-Do (hard requirements) "&amp;CHAR(10)&amp;$N169&amp;CHAR(10)&amp;CHAR(10),"")&amp;
IF($O169&lt;&gt;"","Suggested Timeline "&amp;CHAR(10)&amp;$O169&amp;CHAR(10)&amp;CHAR(10),"")&amp;
IF($P169&lt;&gt;"","Guardrails "&amp;CHAR(10)&amp;$P169&amp;CHAR(10)&amp;CHAR(10),"")&amp;
IF($Q169&lt;&gt;"","Completion signals "&amp;CHAR(10)&amp;$Q169,"")</f>
        <v/>
      </c>
      <c r="S169" s="25"/>
      <c r="T169" s="25"/>
      <c r="U169" s="8"/>
      <c r="V169" s="8" t="str">
        <f>_xlfn.SINGLE(IF($B169 = "", "", IF(_xlfn.SINGLE(_xlfn.TEXTJOIN(" | ", TRUE, IF($B169 = "", "Missing Title", ""), IF($C169 = "", "Missing Date", ""), IF($D169 = "", "Missing Start", ""), IF($E169 = "", "Missing End", ""), IF($G169 = "", "Missing Required Attendees", ""), IF($T169 = "", "Missing Status", ""), IF(AND($D169 &lt;&gt; "", $E169 &lt;&gt; "", $D169 &gt;= $E169), "Start&gt;=End", ""), IF(OR($R169 = "", LEN($R169) &lt; 60, ISNUMBER(MATCH(TRIM($R169), StatusList, 0))), "Body overwritten/short", ""))) = "", "OK", _xlfn.TEXTJOIN(" | ", TRUE, IF($B169 = "", "Missing Title", ""), IF($C169 = "", "Missing Date", ""), IF($D169 = "", "Missing Start", ""), IF($E169 = "", "Missing End", ""), IF($G169 = "", "Missing Required Attendees", ""), IF($T169 = "", "Missing Status", ""), IF(AND($D169 &lt;&gt; "", $E169 &lt;&gt; "", $D169 &gt;= $E169), "Start&gt;=End", ""), IF(OR($R169 = "", LEN($R169) &lt; 60, ISNUMBER(MATCH(TRIM($R169), StatusList, 0))), "Body overwritten/short", "")))))</f>
        <v/>
      </c>
    </row>
    <row r="170" spans="2:22" ht="12.75" customHeight="1">
      <c r="B170" s="25"/>
      <c r="C170" s="34"/>
      <c r="D170" s="38"/>
      <c r="E170" s="38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16" t="str">
        <f>IF($L170&lt;&gt;"","Purpose "&amp;CHAR(10)&amp;$L170&amp;CHAR(10)&amp;CHAR(10),"")&amp;
IF($M170&lt;&gt;"","Stops (in order) "&amp;CHAR(10)&amp;$M170&amp;CHAR(10)&amp;CHAR(10),"")&amp;
IF($N170&lt;&gt;"","To-Do (hard requirements) "&amp;CHAR(10)&amp;$N170&amp;CHAR(10)&amp;CHAR(10),"")&amp;
IF($O170&lt;&gt;"","Suggested Timeline "&amp;CHAR(10)&amp;$O170&amp;CHAR(10)&amp;CHAR(10),"")&amp;
IF($P170&lt;&gt;"","Guardrails "&amp;CHAR(10)&amp;$P170&amp;CHAR(10)&amp;CHAR(10),"")&amp;
IF($Q170&lt;&gt;"","Completion signals "&amp;CHAR(10)&amp;$Q170,"")</f>
        <v/>
      </c>
      <c r="S170" s="25"/>
      <c r="T170" s="25"/>
      <c r="U170" s="8"/>
      <c r="V170" s="8" t="str">
        <f>_xlfn.SINGLE(IF($B170 = "", "", IF(_xlfn.SINGLE(_xlfn.TEXTJOIN(" | ", TRUE, IF($B170 = "", "Missing Title", ""), IF($C170 = "", "Missing Date", ""), IF($D170 = "", "Missing Start", ""), IF($E170 = "", "Missing End", ""), IF($G170 = "", "Missing Required Attendees", ""), IF($T170 = "", "Missing Status", ""), IF(AND($D170 &lt;&gt; "", $E170 &lt;&gt; "", $D170 &gt;= $E170), "Start&gt;=End", ""), IF(OR($R170 = "", LEN($R170) &lt; 60, ISNUMBER(MATCH(TRIM($R170), StatusList, 0))), "Body overwritten/short", ""))) = "", "OK", _xlfn.TEXTJOIN(" | ", TRUE, IF($B170 = "", "Missing Title", ""), IF($C170 = "", "Missing Date", ""), IF($D170 = "", "Missing Start", ""), IF($E170 = "", "Missing End", ""), IF($G170 = "", "Missing Required Attendees", ""), IF($T170 = "", "Missing Status", ""), IF(AND($D170 &lt;&gt; "", $E170 &lt;&gt; "", $D170 &gt;= $E170), "Start&gt;=End", ""), IF(OR($R170 = "", LEN($R170) &lt; 60, ISNUMBER(MATCH(TRIM($R170), StatusList, 0))), "Body overwritten/short", "")))))</f>
        <v/>
      </c>
    </row>
    <row r="171" spans="2:22" ht="12.75" customHeight="1">
      <c r="B171" s="25"/>
      <c r="C171" s="34"/>
      <c r="D171" s="38"/>
      <c r="E171" s="38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16" t="str">
        <f>IF($L171&lt;&gt;"","Purpose "&amp;CHAR(10)&amp;$L171&amp;CHAR(10)&amp;CHAR(10),"")&amp;
IF($M171&lt;&gt;"","Stops (in order) "&amp;CHAR(10)&amp;$M171&amp;CHAR(10)&amp;CHAR(10),"")&amp;
IF($N171&lt;&gt;"","To-Do (hard requirements) "&amp;CHAR(10)&amp;$N171&amp;CHAR(10)&amp;CHAR(10),"")&amp;
IF($O171&lt;&gt;"","Suggested Timeline "&amp;CHAR(10)&amp;$O171&amp;CHAR(10)&amp;CHAR(10),"")&amp;
IF($P171&lt;&gt;"","Guardrails "&amp;CHAR(10)&amp;$P171&amp;CHAR(10)&amp;CHAR(10),"")&amp;
IF($Q171&lt;&gt;"","Completion signals "&amp;CHAR(10)&amp;$Q171,"")</f>
        <v/>
      </c>
      <c r="S171" s="25"/>
      <c r="T171" s="25"/>
      <c r="U171" s="8"/>
      <c r="V171" s="8" t="str">
        <f>_xlfn.SINGLE(IF($B171 = "", "", IF(_xlfn.SINGLE(_xlfn.TEXTJOIN(" | ", TRUE, IF($B171 = "", "Missing Title", ""), IF($C171 = "", "Missing Date", ""), IF($D171 = "", "Missing Start", ""), IF($E171 = "", "Missing End", ""), IF($G171 = "", "Missing Required Attendees", ""), IF($T171 = "", "Missing Status", ""), IF(AND($D171 &lt;&gt; "", $E171 &lt;&gt; "", $D171 &gt;= $E171), "Start&gt;=End", ""), IF(OR($R171 = "", LEN($R171) &lt; 60, ISNUMBER(MATCH(TRIM($R171), StatusList, 0))), "Body overwritten/short", ""))) = "", "OK", _xlfn.TEXTJOIN(" | ", TRUE, IF($B171 = "", "Missing Title", ""), IF($C171 = "", "Missing Date", ""), IF($D171 = "", "Missing Start", ""), IF($E171 = "", "Missing End", ""), IF($G171 = "", "Missing Required Attendees", ""), IF($T171 = "", "Missing Status", ""), IF(AND($D171 &lt;&gt; "", $E171 &lt;&gt; "", $D171 &gt;= $E171), "Start&gt;=End", ""), IF(OR($R171 = "", LEN($R171) &lt; 60, ISNUMBER(MATCH(TRIM($R171), StatusList, 0))), "Body overwritten/short", "")))))</f>
        <v/>
      </c>
    </row>
    <row r="172" spans="2:22" ht="12.75" customHeight="1">
      <c r="B172" s="25"/>
      <c r="C172" s="34"/>
      <c r="D172" s="38"/>
      <c r="E172" s="38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16" t="str">
        <f>IF($L172&lt;&gt;"","Purpose "&amp;CHAR(10)&amp;$L172&amp;CHAR(10)&amp;CHAR(10),"")&amp;
IF($M172&lt;&gt;"","Stops (in order) "&amp;CHAR(10)&amp;$M172&amp;CHAR(10)&amp;CHAR(10),"")&amp;
IF($N172&lt;&gt;"","To-Do (hard requirements) "&amp;CHAR(10)&amp;$N172&amp;CHAR(10)&amp;CHAR(10),"")&amp;
IF($O172&lt;&gt;"","Suggested Timeline "&amp;CHAR(10)&amp;$O172&amp;CHAR(10)&amp;CHAR(10),"")&amp;
IF($P172&lt;&gt;"","Guardrails "&amp;CHAR(10)&amp;$P172&amp;CHAR(10)&amp;CHAR(10),"")&amp;
IF($Q172&lt;&gt;"","Completion signals "&amp;CHAR(10)&amp;$Q172,"")</f>
        <v/>
      </c>
      <c r="S172" s="25"/>
      <c r="T172" s="25"/>
      <c r="U172" s="8"/>
      <c r="V172" s="8" t="str">
        <f>_xlfn.SINGLE(IF($B172 = "", "", IF(_xlfn.SINGLE(_xlfn.TEXTJOIN(" | ", TRUE, IF($B172 = "", "Missing Title", ""), IF($C172 = "", "Missing Date", ""), IF($D172 = "", "Missing Start", ""), IF($E172 = "", "Missing End", ""), IF($G172 = "", "Missing Required Attendees", ""), IF($T172 = "", "Missing Status", ""), IF(AND($D172 &lt;&gt; "", $E172 &lt;&gt; "", $D172 &gt;= $E172), "Start&gt;=End", ""), IF(OR($R172 = "", LEN($R172) &lt; 60, ISNUMBER(MATCH(TRIM($R172), StatusList, 0))), "Body overwritten/short", ""))) = "", "OK", _xlfn.TEXTJOIN(" | ", TRUE, IF($B172 = "", "Missing Title", ""), IF($C172 = "", "Missing Date", ""), IF($D172 = "", "Missing Start", ""), IF($E172 = "", "Missing End", ""), IF($G172 = "", "Missing Required Attendees", ""), IF($T172 = "", "Missing Status", ""), IF(AND($D172 &lt;&gt; "", $E172 &lt;&gt; "", $D172 &gt;= $E172), "Start&gt;=End", ""), IF(OR($R172 = "", LEN($R172) &lt; 60, ISNUMBER(MATCH(TRIM($R172), StatusList, 0))), "Body overwritten/short", "")))))</f>
        <v/>
      </c>
    </row>
    <row r="173" spans="2:22" ht="12.75" customHeight="1">
      <c r="B173" s="25"/>
      <c r="C173" s="34"/>
      <c r="D173" s="38"/>
      <c r="E173" s="38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16" t="str">
        <f>IF($L173&lt;&gt;"","Purpose "&amp;CHAR(10)&amp;$L173&amp;CHAR(10)&amp;CHAR(10),"")&amp;
IF($M173&lt;&gt;"","Stops (in order) "&amp;CHAR(10)&amp;$M173&amp;CHAR(10)&amp;CHAR(10),"")&amp;
IF($N173&lt;&gt;"","To-Do (hard requirements) "&amp;CHAR(10)&amp;$N173&amp;CHAR(10)&amp;CHAR(10),"")&amp;
IF($O173&lt;&gt;"","Suggested Timeline "&amp;CHAR(10)&amp;$O173&amp;CHAR(10)&amp;CHAR(10),"")&amp;
IF($P173&lt;&gt;"","Guardrails "&amp;CHAR(10)&amp;$P173&amp;CHAR(10)&amp;CHAR(10),"")&amp;
IF($Q173&lt;&gt;"","Completion signals "&amp;CHAR(10)&amp;$Q173,"")</f>
        <v/>
      </c>
      <c r="S173" s="25"/>
      <c r="T173" s="25"/>
      <c r="U173" s="8"/>
      <c r="V173" s="8" t="str">
        <f>_xlfn.SINGLE(IF($B173 = "", "", IF(_xlfn.SINGLE(_xlfn.TEXTJOIN(" | ", TRUE, IF($B173 = "", "Missing Title", ""), IF($C173 = "", "Missing Date", ""), IF($D173 = "", "Missing Start", ""), IF($E173 = "", "Missing End", ""), IF($G173 = "", "Missing Required Attendees", ""), IF($T173 = "", "Missing Status", ""), IF(AND($D173 &lt;&gt; "", $E173 &lt;&gt; "", $D173 &gt;= $E173), "Start&gt;=End", ""), IF(OR($R173 = "", LEN($R173) &lt; 60, ISNUMBER(MATCH(TRIM($R173), StatusList, 0))), "Body overwritten/short", ""))) = "", "OK", _xlfn.TEXTJOIN(" | ", TRUE, IF($B173 = "", "Missing Title", ""), IF($C173 = "", "Missing Date", ""), IF($D173 = "", "Missing Start", ""), IF($E173 = "", "Missing End", ""), IF($G173 = "", "Missing Required Attendees", ""), IF($T173 = "", "Missing Status", ""), IF(AND($D173 &lt;&gt; "", $E173 &lt;&gt; "", $D173 &gt;= $E173), "Start&gt;=End", ""), IF(OR($R173 = "", LEN($R173) &lt; 60, ISNUMBER(MATCH(TRIM($R173), StatusList, 0))), "Body overwritten/short", "")))))</f>
        <v/>
      </c>
    </row>
    <row r="174" spans="2:22" ht="12.75" customHeight="1">
      <c r="B174" s="25"/>
      <c r="C174" s="34"/>
      <c r="D174" s="38"/>
      <c r="E174" s="38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16" t="str">
        <f>IF($L174&lt;&gt;"","Purpose "&amp;CHAR(10)&amp;$L174&amp;CHAR(10)&amp;CHAR(10),"")&amp;
IF($M174&lt;&gt;"","Stops (in order) "&amp;CHAR(10)&amp;$M174&amp;CHAR(10)&amp;CHAR(10),"")&amp;
IF($N174&lt;&gt;"","To-Do (hard requirements) "&amp;CHAR(10)&amp;$N174&amp;CHAR(10)&amp;CHAR(10),"")&amp;
IF($O174&lt;&gt;"","Suggested Timeline "&amp;CHAR(10)&amp;$O174&amp;CHAR(10)&amp;CHAR(10),"")&amp;
IF($P174&lt;&gt;"","Guardrails "&amp;CHAR(10)&amp;$P174&amp;CHAR(10)&amp;CHAR(10),"")&amp;
IF($Q174&lt;&gt;"","Completion signals "&amp;CHAR(10)&amp;$Q174,"")</f>
        <v/>
      </c>
      <c r="S174" s="25"/>
      <c r="T174" s="25"/>
      <c r="U174" s="8"/>
      <c r="V174" s="8" t="str">
        <f>_xlfn.SINGLE(IF($B174 = "", "", IF(_xlfn.SINGLE(_xlfn.TEXTJOIN(" | ", TRUE, IF($B174 = "", "Missing Title", ""), IF($C174 = "", "Missing Date", ""), IF($D174 = "", "Missing Start", ""), IF($E174 = "", "Missing End", ""), IF($G174 = "", "Missing Required Attendees", ""), IF($T174 = "", "Missing Status", ""), IF(AND($D174 &lt;&gt; "", $E174 &lt;&gt; "", $D174 &gt;= $E174), "Start&gt;=End", ""), IF(OR($R174 = "", LEN($R174) &lt; 60, ISNUMBER(MATCH(TRIM($R174), StatusList, 0))), "Body overwritten/short", ""))) = "", "OK", _xlfn.TEXTJOIN(" | ", TRUE, IF($B174 = "", "Missing Title", ""), IF($C174 = "", "Missing Date", ""), IF($D174 = "", "Missing Start", ""), IF($E174 = "", "Missing End", ""), IF($G174 = "", "Missing Required Attendees", ""), IF($T174 = "", "Missing Status", ""), IF(AND($D174 &lt;&gt; "", $E174 &lt;&gt; "", $D174 &gt;= $E174), "Start&gt;=End", ""), IF(OR($R174 = "", LEN($R174) &lt; 60, ISNUMBER(MATCH(TRIM($R174), StatusList, 0))), "Body overwritten/short", "")))))</f>
        <v/>
      </c>
    </row>
    <row r="175" spans="2:22" ht="12.75" customHeight="1">
      <c r="B175" s="25"/>
      <c r="C175" s="34"/>
      <c r="D175" s="38"/>
      <c r="E175" s="38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16" t="str">
        <f>IF($L175&lt;&gt;"","Purpose "&amp;CHAR(10)&amp;$L175&amp;CHAR(10)&amp;CHAR(10),"")&amp;
IF($M175&lt;&gt;"","Stops (in order) "&amp;CHAR(10)&amp;$M175&amp;CHAR(10)&amp;CHAR(10),"")&amp;
IF($N175&lt;&gt;"","To-Do (hard requirements) "&amp;CHAR(10)&amp;$N175&amp;CHAR(10)&amp;CHAR(10),"")&amp;
IF($O175&lt;&gt;"","Suggested Timeline "&amp;CHAR(10)&amp;$O175&amp;CHAR(10)&amp;CHAR(10),"")&amp;
IF($P175&lt;&gt;"","Guardrails "&amp;CHAR(10)&amp;$P175&amp;CHAR(10)&amp;CHAR(10),"")&amp;
IF($Q175&lt;&gt;"","Completion signals "&amp;CHAR(10)&amp;$Q175,"")</f>
        <v/>
      </c>
      <c r="S175" s="25"/>
      <c r="T175" s="25"/>
      <c r="U175" s="8"/>
      <c r="V175" s="8" t="str">
        <f>_xlfn.SINGLE(IF($B175 = "", "", IF(_xlfn.SINGLE(_xlfn.TEXTJOIN(" | ", TRUE, IF($B175 = "", "Missing Title", ""), IF($C175 = "", "Missing Date", ""), IF($D175 = "", "Missing Start", ""), IF($E175 = "", "Missing End", ""), IF($G175 = "", "Missing Required Attendees", ""), IF($T175 = "", "Missing Status", ""), IF(AND($D175 &lt;&gt; "", $E175 &lt;&gt; "", $D175 &gt;= $E175), "Start&gt;=End", ""), IF(OR($R175 = "", LEN($R175) &lt; 60, ISNUMBER(MATCH(TRIM($R175), StatusList, 0))), "Body overwritten/short", ""))) = "", "OK", _xlfn.TEXTJOIN(" | ", TRUE, IF($B175 = "", "Missing Title", ""), IF($C175 = "", "Missing Date", ""), IF($D175 = "", "Missing Start", ""), IF($E175 = "", "Missing End", ""), IF($G175 = "", "Missing Required Attendees", ""), IF($T175 = "", "Missing Status", ""), IF(AND($D175 &lt;&gt; "", $E175 &lt;&gt; "", $D175 &gt;= $E175), "Start&gt;=End", ""), IF(OR($R175 = "", LEN($R175) &lt; 60, ISNUMBER(MATCH(TRIM($R175), StatusList, 0))), "Body overwritten/short", "")))))</f>
        <v/>
      </c>
    </row>
    <row r="176" spans="2:22" ht="12.75" customHeight="1">
      <c r="B176" s="25"/>
      <c r="C176" s="34"/>
      <c r="D176" s="38"/>
      <c r="E176" s="38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16" t="str">
        <f>IF($L176&lt;&gt;"","Purpose "&amp;CHAR(10)&amp;$L176&amp;CHAR(10)&amp;CHAR(10),"")&amp;
IF($M176&lt;&gt;"","Stops (in order) "&amp;CHAR(10)&amp;$M176&amp;CHAR(10)&amp;CHAR(10),"")&amp;
IF($N176&lt;&gt;"","To-Do (hard requirements) "&amp;CHAR(10)&amp;$N176&amp;CHAR(10)&amp;CHAR(10),"")&amp;
IF($O176&lt;&gt;"","Suggested Timeline "&amp;CHAR(10)&amp;$O176&amp;CHAR(10)&amp;CHAR(10),"")&amp;
IF($P176&lt;&gt;"","Guardrails "&amp;CHAR(10)&amp;$P176&amp;CHAR(10)&amp;CHAR(10),"")&amp;
IF($Q176&lt;&gt;"","Completion signals "&amp;CHAR(10)&amp;$Q176,"")</f>
        <v/>
      </c>
      <c r="S176" s="25"/>
      <c r="T176" s="25"/>
      <c r="U176" s="8"/>
      <c r="V176" s="8" t="str">
        <f>_xlfn.SINGLE(IF($B176 = "", "", IF(_xlfn.SINGLE(_xlfn.TEXTJOIN(" | ", TRUE, IF($B176 = "", "Missing Title", ""), IF($C176 = "", "Missing Date", ""), IF($D176 = "", "Missing Start", ""), IF($E176 = "", "Missing End", ""), IF($G176 = "", "Missing Required Attendees", ""), IF($T176 = "", "Missing Status", ""), IF(AND($D176 &lt;&gt; "", $E176 &lt;&gt; "", $D176 &gt;= $E176), "Start&gt;=End", ""), IF(OR($R176 = "", LEN($R176) &lt; 60, ISNUMBER(MATCH(TRIM($R176), StatusList, 0))), "Body overwritten/short", ""))) = "", "OK", _xlfn.TEXTJOIN(" | ", TRUE, IF($B176 = "", "Missing Title", ""), IF($C176 = "", "Missing Date", ""), IF($D176 = "", "Missing Start", ""), IF($E176 = "", "Missing End", ""), IF($G176 = "", "Missing Required Attendees", ""), IF($T176 = "", "Missing Status", ""), IF(AND($D176 &lt;&gt; "", $E176 &lt;&gt; "", $D176 &gt;= $E176), "Start&gt;=End", ""), IF(OR($R176 = "", LEN($R176) &lt; 60, ISNUMBER(MATCH(TRIM($R176), StatusList, 0))), "Body overwritten/short", "")))))</f>
        <v/>
      </c>
    </row>
    <row r="177" spans="2:22" ht="12.75" customHeight="1">
      <c r="B177" s="25"/>
      <c r="C177" s="34"/>
      <c r="D177" s="38"/>
      <c r="E177" s="38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16" t="str">
        <f>IF($L177&lt;&gt;"","Purpose "&amp;CHAR(10)&amp;$L177&amp;CHAR(10)&amp;CHAR(10),"")&amp;
IF($M177&lt;&gt;"","Stops (in order) "&amp;CHAR(10)&amp;$M177&amp;CHAR(10)&amp;CHAR(10),"")&amp;
IF($N177&lt;&gt;"","To-Do (hard requirements) "&amp;CHAR(10)&amp;$N177&amp;CHAR(10)&amp;CHAR(10),"")&amp;
IF($O177&lt;&gt;"","Suggested Timeline "&amp;CHAR(10)&amp;$O177&amp;CHAR(10)&amp;CHAR(10),"")&amp;
IF($P177&lt;&gt;"","Guardrails "&amp;CHAR(10)&amp;$P177&amp;CHAR(10)&amp;CHAR(10),"")&amp;
IF($Q177&lt;&gt;"","Completion signals "&amp;CHAR(10)&amp;$Q177,"")</f>
        <v/>
      </c>
      <c r="S177" s="25"/>
      <c r="T177" s="25"/>
      <c r="U177" s="8"/>
      <c r="V177" s="8" t="str">
        <f>_xlfn.SINGLE(IF($B177 = "", "", IF(_xlfn.SINGLE(_xlfn.TEXTJOIN(" | ", TRUE, IF($B177 = "", "Missing Title", ""), IF($C177 = "", "Missing Date", ""), IF($D177 = "", "Missing Start", ""), IF($E177 = "", "Missing End", ""), IF($G177 = "", "Missing Required Attendees", ""), IF($T177 = "", "Missing Status", ""), IF(AND($D177 &lt;&gt; "", $E177 &lt;&gt; "", $D177 &gt;= $E177), "Start&gt;=End", ""), IF(OR($R177 = "", LEN($R177) &lt; 60, ISNUMBER(MATCH(TRIM($R177), StatusList, 0))), "Body overwritten/short", ""))) = "", "OK", _xlfn.TEXTJOIN(" | ", TRUE, IF($B177 = "", "Missing Title", ""), IF($C177 = "", "Missing Date", ""), IF($D177 = "", "Missing Start", ""), IF($E177 = "", "Missing End", ""), IF($G177 = "", "Missing Required Attendees", ""), IF($T177 = "", "Missing Status", ""), IF(AND($D177 &lt;&gt; "", $E177 &lt;&gt; "", $D177 &gt;= $E177), "Start&gt;=End", ""), IF(OR($R177 = "", LEN($R177) &lt; 60, ISNUMBER(MATCH(TRIM($R177), StatusList, 0))), "Body overwritten/short", "")))))</f>
        <v/>
      </c>
    </row>
    <row r="178" spans="2:22" ht="12.75" customHeight="1">
      <c r="B178" s="25"/>
      <c r="C178" s="34"/>
      <c r="D178" s="38"/>
      <c r="E178" s="38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16" t="str">
        <f>IF($L178&lt;&gt;"","Purpose "&amp;CHAR(10)&amp;$L178&amp;CHAR(10)&amp;CHAR(10),"")&amp;
IF($M178&lt;&gt;"","Stops (in order) "&amp;CHAR(10)&amp;$M178&amp;CHAR(10)&amp;CHAR(10),"")&amp;
IF($N178&lt;&gt;"","To-Do (hard requirements) "&amp;CHAR(10)&amp;$N178&amp;CHAR(10)&amp;CHAR(10),"")&amp;
IF($O178&lt;&gt;"","Suggested Timeline "&amp;CHAR(10)&amp;$O178&amp;CHAR(10)&amp;CHAR(10),"")&amp;
IF($P178&lt;&gt;"","Guardrails "&amp;CHAR(10)&amp;$P178&amp;CHAR(10)&amp;CHAR(10),"")&amp;
IF($Q178&lt;&gt;"","Completion signals "&amp;CHAR(10)&amp;$Q178,"")</f>
        <v/>
      </c>
      <c r="S178" s="25"/>
      <c r="T178" s="25"/>
      <c r="U178" s="8"/>
      <c r="V178" s="8" t="str">
        <f>_xlfn.SINGLE(IF($B178 = "", "", IF(_xlfn.SINGLE(_xlfn.TEXTJOIN(" | ", TRUE, IF($B178 = "", "Missing Title", ""), IF($C178 = "", "Missing Date", ""), IF($D178 = "", "Missing Start", ""), IF($E178 = "", "Missing End", ""), IF($G178 = "", "Missing Required Attendees", ""), IF($T178 = "", "Missing Status", ""), IF(AND($D178 &lt;&gt; "", $E178 &lt;&gt; "", $D178 &gt;= $E178), "Start&gt;=End", ""), IF(OR($R178 = "", LEN($R178) &lt; 60, ISNUMBER(MATCH(TRIM($R178), StatusList, 0))), "Body overwritten/short", ""))) = "", "OK", _xlfn.TEXTJOIN(" | ", TRUE, IF($B178 = "", "Missing Title", ""), IF($C178 = "", "Missing Date", ""), IF($D178 = "", "Missing Start", ""), IF($E178 = "", "Missing End", ""), IF($G178 = "", "Missing Required Attendees", ""), IF($T178 = "", "Missing Status", ""), IF(AND($D178 &lt;&gt; "", $E178 &lt;&gt; "", $D178 &gt;= $E178), "Start&gt;=End", ""), IF(OR($R178 = "", LEN($R178) &lt; 60, ISNUMBER(MATCH(TRIM($R178), StatusList, 0))), "Body overwritten/short", "")))))</f>
        <v/>
      </c>
    </row>
    <row r="179" spans="2:22" ht="12.75" customHeight="1">
      <c r="B179" s="25"/>
      <c r="C179" s="34"/>
      <c r="D179" s="38"/>
      <c r="E179" s="38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16" t="str">
        <f>IF($L179&lt;&gt;"","Purpose "&amp;CHAR(10)&amp;$L179&amp;CHAR(10)&amp;CHAR(10),"")&amp;
IF($M179&lt;&gt;"","Stops (in order) "&amp;CHAR(10)&amp;$M179&amp;CHAR(10)&amp;CHAR(10),"")&amp;
IF($N179&lt;&gt;"","To-Do (hard requirements) "&amp;CHAR(10)&amp;$N179&amp;CHAR(10)&amp;CHAR(10),"")&amp;
IF($O179&lt;&gt;"","Suggested Timeline "&amp;CHAR(10)&amp;$O179&amp;CHAR(10)&amp;CHAR(10),"")&amp;
IF($P179&lt;&gt;"","Guardrails "&amp;CHAR(10)&amp;$P179&amp;CHAR(10)&amp;CHAR(10),"")&amp;
IF($Q179&lt;&gt;"","Completion signals "&amp;CHAR(10)&amp;$Q179,"")</f>
        <v/>
      </c>
      <c r="S179" s="25"/>
      <c r="T179" s="25"/>
      <c r="U179" s="8"/>
      <c r="V179" s="8" t="str">
        <f>_xlfn.SINGLE(IF($B179 = "", "", IF(_xlfn.SINGLE(_xlfn.TEXTJOIN(" | ", TRUE, IF($B179 = "", "Missing Title", ""), IF($C179 = "", "Missing Date", ""), IF($D179 = "", "Missing Start", ""), IF($E179 = "", "Missing End", ""), IF($G179 = "", "Missing Required Attendees", ""), IF($T179 = "", "Missing Status", ""), IF(AND($D179 &lt;&gt; "", $E179 &lt;&gt; "", $D179 &gt;= $E179), "Start&gt;=End", ""), IF(OR($R179 = "", LEN($R179) &lt; 60, ISNUMBER(MATCH(TRIM($R179), StatusList, 0))), "Body overwritten/short", ""))) = "", "OK", _xlfn.TEXTJOIN(" | ", TRUE, IF($B179 = "", "Missing Title", ""), IF($C179 = "", "Missing Date", ""), IF($D179 = "", "Missing Start", ""), IF($E179 = "", "Missing End", ""), IF($G179 = "", "Missing Required Attendees", ""), IF($T179 = "", "Missing Status", ""), IF(AND($D179 &lt;&gt; "", $E179 &lt;&gt; "", $D179 &gt;= $E179), "Start&gt;=End", ""), IF(OR($R179 = "", LEN($R179) &lt; 60, ISNUMBER(MATCH(TRIM($R179), StatusList, 0))), "Body overwritten/short", "")))))</f>
        <v/>
      </c>
    </row>
    <row r="180" spans="2:22" ht="12.75" customHeight="1">
      <c r="B180" s="25"/>
      <c r="C180" s="34"/>
      <c r="D180" s="38"/>
      <c r="E180" s="38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16" t="str">
        <f>IF($L180&lt;&gt;"","Purpose "&amp;CHAR(10)&amp;$L180&amp;CHAR(10)&amp;CHAR(10),"")&amp;
IF($M180&lt;&gt;"","Stops (in order) "&amp;CHAR(10)&amp;$M180&amp;CHAR(10)&amp;CHAR(10),"")&amp;
IF($N180&lt;&gt;"","To-Do (hard requirements) "&amp;CHAR(10)&amp;$N180&amp;CHAR(10)&amp;CHAR(10),"")&amp;
IF($O180&lt;&gt;"","Suggested Timeline "&amp;CHAR(10)&amp;$O180&amp;CHAR(10)&amp;CHAR(10),"")&amp;
IF($P180&lt;&gt;"","Guardrails "&amp;CHAR(10)&amp;$P180&amp;CHAR(10)&amp;CHAR(10),"")&amp;
IF($Q180&lt;&gt;"","Completion signals "&amp;CHAR(10)&amp;$Q180,"")</f>
        <v/>
      </c>
      <c r="S180" s="25"/>
      <c r="T180" s="25"/>
      <c r="U180" s="8"/>
      <c r="V180" s="8" t="str">
        <f>_xlfn.SINGLE(IF($B180 = "", "", IF(_xlfn.SINGLE(_xlfn.TEXTJOIN(" | ", TRUE, IF($B180 = "", "Missing Title", ""), IF($C180 = "", "Missing Date", ""), IF($D180 = "", "Missing Start", ""), IF($E180 = "", "Missing End", ""), IF($G180 = "", "Missing Required Attendees", ""), IF($T180 = "", "Missing Status", ""), IF(AND($D180 &lt;&gt; "", $E180 &lt;&gt; "", $D180 &gt;= $E180), "Start&gt;=End", ""), IF(OR($R180 = "", LEN($R180) &lt; 60, ISNUMBER(MATCH(TRIM($R180), StatusList, 0))), "Body overwritten/short", ""))) = "", "OK", _xlfn.TEXTJOIN(" | ", TRUE, IF($B180 = "", "Missing Title", ""), IF($C180 = "", "Missing Date", ""), IF($D180 = "", "Missing Start", ""), IF($E180 = "", "Missing End", ""), IF($G180 = "", "Missing Required Attendees", ""), IF($T180 = "", "Missing Status", ""), IF(AND($D180 &lt;&gt; "", $E180 &lt;&gt; "", $D180 &gt;= $E180), "Start&gt;=End", ""), IF(OR($R180 = "", LEN($R180) &lt; 60, ISNUMBER(MATCH(TRIM($R180), StatusList, 0))), "Body overwritten/short", "")))))</f>
        <v/>
      </c>
    </row>
    <row r="181" spans="2:22" ht="12.75" customHeight="1">
      <c r="B181" s="25"/>
      <c r="C181" s="34"/>
      <c r="D181" s="38"/>
      <c r="E181" s="38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16" t="str">
        <f>IF($L181&lt;&gt;"","Purpose "&amp;CHAR(10)&amp;$L181&amp;CHAR(10)&amp;CHAR(10),"")&amp;
IF($M181&lt;&gt;"","Stops (in order) "&amp;CHAR(10)&amp;$M181&amp;CHAR(10)&amp;CHAR(10),"")&amp;
IF($N181&lt;&gt;"","To-Do (hard requirements) "&amp;CHAR(10)&amp;$N181&amp;CHAR(10)&amp;CHAR(10),"")&amp;
IF($O181&lt;&gt;"","Suggested Timeline "&amp;CHAR(10)&amp;$O181&amp;CHAR(10)&amp;CHAR(10),"")&amp;
IF($P181&lt;&gt;"","Guardrails "&amp;CHAR(10)&amp;$P181&amp;CHAR(10)&amp;CHAR(10),"")&amp;
IF($Q181&lt;&gt;"","Completion signals "&amp;CHAR(10)&amp;$Q181,"")</f>
        <v/>
      </c>
      <c r="S181" s="25"/>
      <c r="T181" s="25"/>
      <c r="U181" s="8"/>
      <c r="V181" s="8" t="str">
        <f>_xlfn.SINGLE(IF($B181 = "", "", IF(_xlfn.SINGLE(_xlfn.TEXTJOIN(" | ", TRUE, IF($B181 = "", "Missing Title", ""), IF($C181 = "", "Missing Date", ""), IF($D181 = "", "Missing Start", ""), IF($E181 = "", "Missing End", ""), IF($G181 = "", "Missing Required Attendees", ""), IF($T181 = "", "Missing Status", ""), IF(AND($D181 &lt;&gt; "", $E181 &lt;&gt; "", $D181 &gt;= $E181), "Start&gt;=End", ""), IF(OR($R181 = "", LEN($R181) &lt; 60, ISNUMBER(MATCH(TRIM($R181), StatusList, 0))), "Body overwritten/short", ""))) = "", "OK", _xlfn.TEXTJOIN(" | ", TRUE, IF($B181 = "", "Missing Title", ""), IF($C181 = "", "Missing Date", ""), IF($D181 = "", "Missing Start", ""), IF($E181 = "", "Missing End", ""), IF($G181 = "", "Missing Required Attendees", ""), IF($T181 = "", "Missing Status", ""), IF(AND($D181 &lt;&gt; "", $E181 &lt;&gt; "", $D181 &gt;= $E181), "Start&gt;=End", ""), IF(OR($R181 = "", LEN($R181) &lt; 60, ISNUMBER(MATCH(TRIM($R181), StatusList, 0))), "Body overwritten/short", "")))))</f>
        <v/>
      </c>
    </row>
    <row r="182" spans="2:22" ht="12.75" customHeight="1">
      <c r="B182" s="25"/>
      <c r="C182" s="34"/>
      <c r="D182" s="38"/>
      <c r="E182" s="38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16" t="str">
        <f>IF($L182&lt;&gt;"","Purpose "&amp;CHAR(10)&amp;$L182&amp;CHAR(10)&amp;CHAR(10),"")&amp;
IF($M182&lt;&gt;"","Stops (in order) "&amp;CHAR(10)&amp;$M182&amp;CHAR(10)&amp;CHAR(10),"")&amp;
IF($N182&lt;&gt;"","To-Do (hard requirements) "&amp;CHAR(10)&amp;$N182&amp;CHAR(10)&amp;CHAR(10),"")&amp;
IF($O182&lt;&gt;"","Suggested Timeline "&amp;CHAR(10)&amp;$O182&amp;CHAR(10)&amp;CHAR(10),"")&amp;
IF($P182&lt;&gt;"","Guardrails "&amp;CHAR(10)&amp;$P182&amp;CHAR(10)&amp;CHAR(10),"")&amp;
IF($Q182&lt;&gt;"","Completion signals "&amp;CHAR(10)&amp;$Q182,"")</f>
        <v/>
      </c>
      <c r="S182" s="25"/>
      <c r="T182" s="25"/>
      <c r="U182" s="8"/>
      <c r="V182" s="8" t="str">
        <f>_xlfn.SINGLE(IF($B182 = "", "", IF(_xlfn.SINGLE(_xlfn.TEXTJOIN(" | ", TRUE, IF($B182 = "", "Missing Title", ""), IF($C182 = "", "Missing Date", ""), IF($D182 = "", "Missing Start", ""), IF($E182 = "", "Missing End", ""), IF($G182 = "", "Missing Required Attendees", ""), IF($T182 = "", "Missing Status", ""), IF(AND($D182 &lt;&gt; "", $E182 &lt;&gt; "", $D182 &gt;= $E182), "Start&gt;=End", ""), IF(OR($R182 = "", LEN($R182) &lt; 60, ISNUMBER(MATCH(TRIM($R182), StatusList, 0))), "Body overwritten/short", ""))) = "", "OK", _xlfn.TEXTJOIN(" | ", TRUE, IF($B182 = "", "Missing Title", ""), IF($C182 = "", "Missing Date", ""), IF($D182 = "", "Missing Start", ""), IF($E182 = "", "Missing End", ""), IF($G182 = "", "Missing Required Attendees", ""), IF($T182 = "", "Missing Status", ""), IF(AND($D182 &lt;&gt; "", $E182 &lt;&gt; "", $D182 &gt;= $E182), "Start&gt;=End", ""), IF(OR($R182 = "", LEN($R182) &lt; 60, ISNUMBER(MATCH(TRIM($R182), StatusList, 0))), "Body overwritten/short", "")))))</f>
        <v/>
      </c>
    </row>
    <row r="183" spans="2:22" ht="12.75" customHeight="1">
      <c r="B183" s="25"/>
      <c r="C183" s="34"/>
      <c r="D183" s="38"/>
      <c r="E183" s="38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16" t="str">
        <f>IF($L183&lt;&gt;"","Purpose "&amp;CHAR(10)&amp;$L183&amp;CHAR(10)&amp;CHAR(10),"")&amp;
IF($M183&lt;&gt;"","Stops (in order) "&amp;CHAR(10)&amp;$M183&amp;CHAR(10)&amp;CHAR(10),"")&amp;
IF($N183&lt;&gt;"","To-Do (hard requirements) "&amp;CHAR(10)&amp;$N183&amp;CHAR(10)&amp;CHAR(10),"")&amp;
IF($O183&lt;&gt;"","Suggested Timeline "&amp;CHAR(10)&amp;$O183&amp;CHAR(10)&amp;CHAR(10),"")&amp;
IF($P183&lt;&gt;"","Guardrails "&amp;CHAR(10)&amp;$P183&amp;CHAR(10)&amp;CHAR(10),"")&amp;
IF($Q183&lt;&gt;"","Completion signals "&amp;CHAR(10)&amp;$Q183,"")</f>
        <v/>
      </c>
      <c r="S183" s="25"/>
      <c r="T183" s="25"/>
      <c r="U183" s="8"/>
      <c r="V183" s="8" t="str">
        <f>_xlfn.SINGLE(IF($B183 = "", "", IF(_xlfn.SINGLE(_xlfn.TEXTJOIN(" | ", TRUE, IF($B183 = "", "Missing Title", ""), IF($C183 = "", "Missing Date", ""), IF($D183 = "", "Missing Start", ""), IF($E183 = "", "Missing End", ""), IF($G183 = "", "Missing Required Attendees", ""), IF($T183 = "", "Missing Status", ""), IF(AND($D183 &lt;&gt; "", $E183 &lt;&gt; "", $D183 &gt;= $E183), "Start&gt;=End", ""), IF(OR($R183 = "", LEN($R183) &lt; 60, ISNUMBER(MATCH(TRIM($R183), StatusList, 0))), "Body overwritten/short", ""))) = "", "OK", _xlfn.TEXTJOIN(" | ", TRUE, IF($B183 = "", "Missing Title", ""), IF($C183 = "", "Missing Date", ""), IF($D183 = "", "Missing Start", ""), IF($E183 = "", "Missing End", ""), IF($G183 = "", "Missing Required Attendees", ""), IF($T183 = "", "Missing Status", ""), IF(AND($D183 &lt;&gt; "", $E183 &lt;&gt; "", $D183 &gt;= $E183), "Start&gt;=End", ""), IF(OR($R183 = "", LEN($R183) &lt; 60, ISNUMBER(MATCH(TRIM($R183), StatusList, 0))), "Body overwritten/short", "")))))</f>
        <v/>
      </c>
    </row>
    <row r="184" spans="2:22" ht="12.75" customHeight="1">
      <c r="B184" s="25"/>
      <c r="C184" s="34"/>
      <c r="D184" s="38"/>
      <c r="E184" s="38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16" t="str">
        <f>IF($L184&lt;&gt;"","Purpose "&amp;CHAR(10)&amp;$L184&amp;CHAR(10)&amp;CHAR(10),"")&amp;
IF($M184&lt;&gt;"","Stops (in order) "&amp;CHAR(10)&amp;$M184&amp;CHAR(10)&amp;CHAR(10),"")&amp;
IF($N184&lt;&gt;"","To-Do (hard requirements) "&amp;CHAR(10)&amp;$N184&amp;CHAR(10)&amp;CHAR(10),"")&amp;
IF($O184&lt;&gt;"","Suggested Timeline "&amp;CHAR(10)&amp;$O184&amp;CHAR(10)&amp;CHAR(10),"")&amp;
IF($P184&lt;&gt;"","Guardrails "&amp;CHAR(10)&amp;$P184&amp;CHAR(10)&amp;CHAR(10),"")&amp;
IF($Q184&lt;&gt;"","Completion signals "&amp;CHAR(10)&amp;$Q184,"")</f>
        <v/>
      </c>
      <c r="S184" s="25"/>
      <c r="T184" s="25"/>
      <c r="U184" s="8"/>
      <c r="V184" s="8" t="str">
        <f>_xlfn.SINGLE(IF($B184 = "", "", IF(_xlfn.SINGLE(_xlfn.TEXTJOIN(" | ", TRUE, IF($B184 = "", "Missing Title", ""), IF($C184 = "", "Missing Date", ""), IF($D184 = "", "Missing Start", ""), IF($E184 = "", "Missing End", ""), IF($G184 = "", "Missing Required Attendees", ""), IF($T184 = "", "Missing Status", ""), IF(AND($D184 &lt;&gt; "", $E184 &lt;&gt; "", $D184 &gt;= $E184), "Start&gt;=End", ""), IF(OR($R184 = "", LEN($R184) &lt; 60, ISNUMBER(MATCH(TRIM($R184), StatusList, 0))), "Body overwritten/short", ""))) = "", "OK", _xlfn.TEXTJOIN(" | ", TRUE, IF($B184 = "", "Missing Title", ""), IF($C184 = "", "Missing Date", ""), IF($D184 = "", "Missing Start", ""), IF($E184 = "", "Missing End", ""), IF($G184 = "", "Missing Required Attendees", ""), IF($T184 = "", "Missing Status", ""), IF(AND($D184 &lt;&gt; "", $E184 &lt;&gt; "", $D184 &gt;= $E184), "Start&gt;=End", ""), IF(OR($R184 = "", LEN($R184) &lt; 60, ISNUMBER(MATCH(TRIM($R184), StatusList, 0))), "Body overwritten/short", "")))))</f>
        <v/>
      </c>
    </row>
    <row r="185" spans="2:22" ht="12.75" customHeight="1">
      <c r="B185" s="25"/>
      <c r="C185" s="34"/>
      <c r="D185" s="38"/>
      <c r="E185" s="38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16" t="str">
        <f>IF($L185&lt;&gt;"","Purpose "&amp;CHAR(10)&amp;$L185&amp;CHAR(10)&amp;CHAR(10),"")&amp;
IF($M185&lt;&gt;"","Stops (in order) "&amp;CHAR(10)&amp;$M185&amp;CHAR(10)&amp;CHAR(10),"")&amp;
IF($N185&lt;&gt;"","To-Do (hard requirements) "&amp;CHAR(10)&amp;$N185&amp;CHAR(10)&amp;CHAR(10),"")&amp;
IF($O185&lt;&gt;"","Suggested Timeline "&amp;CHAR(10)&amp;$O185&amp;CHAR(10)&amp;CHAR(10),"")&amp;
IF($P185&lt;&gt;"","Guardrails "&amp;CHAR(10)&amp;$P185&amp;CHAR(10)&amp;CHAR(10),"")&amp;
IF($Q185&lt;&gt;"","Completion signals "&amp;CHAR(10)&amp;$Q185,"")</f>
        <v/>
      </c>
      <c r="S185" s="25"/>
      <c r="T185" s="25"/>
      <c r="U185" s="8"/>
      <c r="V185" s="8" t="str">
        <f>_xlfn.SINGLE(IF($B185 = "", "", IF(_xlfn.SINGLE(_xlfn.TEXTJOIN(" | ", TRUE, IF($B185 = "", "Missing Title", ""), IF($C185 = "", "Missing Date", ""), IF($D185 = "", "Missing Start", ""), IF($E185 = "", "Missing End", ""), IF($G185 = "", "Missing Required Attendees", ""), IF($T185 = "", "Missing Status", ""), IF(AND($D185 &lt;&gt; "", $E185 &lt;&gt; "", $D185 &gt;= $E185), "Start&gt;=End", ""), IF(OR($R185 = "", LEN($R185) &lt; 60, ISNUMBER(MATCH(TRIM($R185), StatusList, 0))), "Body overwritten/short", ""))) = "", "OK", _xlfn.TEXTJOIN(" | ", TRUE, IF($B185 = "", "Missing Title", ""), IF($C185 = "", "Missing Date", ""), IF($D185 = "", "Missing Start", ""), IF($E185 = "", "Missing End", ""), IF($G185 = "", "Missing Required Attendees", ""), IF($T185 = "", "Missing Status", ""), IF(AND($D185 &lt;&gt; "", $E185 &lt;&gt; "", $D185 &gt;= $E185), "Start&gt;=End", ""), IF(OR($R185 = "", LEN($R185) &lt; 60, ISNUMBER(MATCH(TRIM($R185), StatusList, 0))), "Body overwritten/short", "")))))</f>
        <v/>
      </c>
    </row>
    <row r="186" spans="2:22" ht="12.75" customHeight="1">
      <c r="B186" s="25"/>
      <c r="C186" s="34"/>
      <c r="D186" s="38"/>
      <c r="E186" s="38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16" t="str">
        <f>IF($L186&lt;&gt;"","Purpose "&amp;CHAR(10)&amp;$L186&amp;CHAR(10)&amp;CHAR(10),"")&amp;
IF($M186&lt;&gt;"","Stops (in order) "&amp;CHAR(10)&amp;$M186&amp;CHAR(10)&amp;CHAR(10),"")&amp;
IF($N186&lt;&gt;"","To-Do (hard requirements) "&amp;CHAR(10)&amp;$N186&amp;CHAR(10)&amp;CHAR(10),"")&amp;
IF($O186&lt;&gt;"","Suggested Timeline "&amp;CHAR(10)&amp;$O186&amp;CHAR(10)&amp;CHAR(10),"")&amp;
IF($P186&lt;&gt;"","Guardrails "&amp;CHAR(10)&amp;$P186&amp;CHAR(10)&amp;CHAR(10),"")&amp;
IF($Q186&lt;&gt;"","Completion signals "&amp;CHAR(10)&amp;$Q186,"")</f>
        <v/>
      </c>
      <c r="S186" s="25"/>
      <c r="T186" s="25"/>
      <c r="U186" s="8"/>
      <c r="V186" s="8" t="str">
        <f>_xlfn.SINGLE(IF($B186 = "", "", IF(_xlfn.SINGLE(_xlfn.TEXTJOIN(" | ", TRUE, IF($B186 = "", "Missing Title", ""), IF($C186 = "", "Missing Date", ""), IF($D186 = "", "Missing Start", ""), IF($E186 = "", "Missing End", ""), IF($G186 = "", "Missing Required Attendees", ""), IF($T186 = "", "Missing Status", ""), IF(AND($D186 &lt;&gt; "", $E186 &lt;&gt; "", $D186 &gt;= $E186), "Start&gt;=End", ""), IF(OR($R186 = "", LEN($R186) &lt; 60, ISNUMBER(MATCH(TRIM($R186), StatusList, 0))), "Body overwritten/short", ""))) = "", "OK", _xlfn.TEXTJOIN(" | ", TRUE, IF($B186 = "", "Missing Title", ""), IF($C186 = "", "Missing Date", ""), IF($D186 = "", "Missing Start", ""), IF($E186 = "", "Missing End", ""), IF($G186 = "", "Missing Required Attendees", ""), IF($T186 = "", "Missing Status", ""), IF(AND($D186 &lt;&gt; "", $E186 &lt;&gt; "", $D186 &gt;= $E186), "Start&gt;=End", ""), IF(OR($R186 = "", LEN($R186) &lt; 60, ISNUMBER(MATCH(TRIM($R186), StatusList, 0))), "Body overwritten/short", "")))))</f>
        <v/>
      </c>
    </row>
    <row r="187" spans="2:22" ht="12.75" customHeight="1">
      <c r="B187" s="25"/>
      <c r="C187" s="34"/>
      <c r="D187" s="38"/>
      <c r="E187" s="38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16" t="str">
        <f>IF($L187&lt;&gt;"","Purpose "&amp;CHAR(10)&amp;$L187&amp;CHAR(10)&amp;CHAR(10),"")&amp;
IF($M187&lt;&gt;"","Stops (in order) "&amp;CHAR(10)&amp;$M187&amp;CHAR(10)&amp;CHAR(10),"")&amp;
IF($N187&lt;&gt;"","To-Do (hard requirements) "&amp;CHAR(10)&amp;$N187&amp;CHAR(10)&amp;CHAR(10),"")&amp;
IF($O187&lt;&gt;"","Suggested Timeline "&amp;CHAR(10)&amp;$O187&amp;CHAR(10)&amp;CHAR(10),"")&amp;
IF($P187&lt;&gt;"","Guardrails "&amp;CHAR(10)&amp;$P187&amp;CHAR(10)&amp;CHAR(10),"")&amp;
IF($Q187&lt;&gt;"","Completion signals "&amp;CHAR(10)&amp;$Q187,"")</f>
        <v/>
      </c>
      <c r="S187" s="25"/>
      <c r="T187" s="25"/>
      <c r="U187" s="8"/>
      <c r="V187" s="8" t="str">
        <f>_xlfn.SINGLE(IF($B187 = "", "", IF(_xlfn.SINGLE(_xlfn.TEXTJOIN(" | ", TRUE, IF($B187 = "", "Missing Title", ""), IF($C187 = "", "Missing Date", ""), IF($D187 = "", "Missing Start", ""), IF($E187 = "", "Missing End", ""), IF($G187 = "", "Missing Required Attendees", ""), IF($T187 = "", "Missing Status", ""), IF(AND($D187 &lt;&gt; "", $E187 &lt;&gt; "", $D187 &gt;= $E187), "Start&gt;=End", ""), IF(OR($R187 = "", LEN($R187) &lt; 60, ISNUMBER(MATCH(TRIM($R187), StatusList, 0))), "Body overwritten/short", ""))) = "", "OK", _xlfn.TEXTJOIN(" | ", TRUE, IF($B187 = "", "Missing Title", ""), IF($C187 = "", "Missing Date", ""), IF($D187 = "", "Missing Start", ""), IF($E187 = "", "Missing End", ""), IF($G187 = "", "Missing Required Attendees", ""), IF($T187 = "", "Missing Status", ""), IF(AND($D187 &lt;&gt; "", $E187 &lt;&gt; "", $D187 &gt;= $E187), "Start&gt;=End", ""), IF(OR($R187 = "", LEN($R187) &lt; 60, ISNUMBER(MATCH(TRIM($R187), StatusList, 0))), "Body overwritten/short", "")))))</f>
        <v/>
      </c>
    </row>
    <row r="188" spans="2:22" ht="12.75" customHeight="1">
      <c r="B188" s="25"/>
      <c r="C188" s="34"/>
      <c r="D188" s="38"/>
      <c r="E188" s="38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16" t="str">
        <f>IF($L188&lt;&gt;"","Purpose "&amp;CHAR(10)&amp;$L188&amp;CHAR(10)&amp;CHAR(10),"")&amp;
IF($M188&lt;&gt;"","Stops (in order) "&amp;CHAR(10)&amp;$M188&amp;CHAR(10)&amp;CHAR(10),"")&amp;
IF($N188&lt;&gt;"","To-Do (hard requirements) "&amp;CHAR(10)&amp;$N188&amp;CHAR(10)&amp;CHAR(10),"")&amp;
IF($O188&lt;&gt;"","Suggested Timeline "&amp;CHAR(10)&amp;$O188&amp;CHAR(10)&amp;CHAR(10),"")&amp;
IF($P188&lt;&gt;"","Guardrails "&amp;CHAR(10)&amp;$P188&amp;CHAR(10)&amp;CHAR(10),"")&amp;
IF($Q188&lt;&gt;"","Completion signals "&amp;CHAR(10)&amp;$Q188,"")</f>
        <v/>
      </c>
      <c r="S188" s="25"/>
      <c r="T188" s="25"/>
      <c r="U188" s="8"/>
      <c r="V188" s="8" t="str">
        <f>_xlfn.SINGLE(IF($B188 = "", "", IF(_xlfn.SINGLE(_xlfn.TEXTJOIN(" | ", TRUE, IF($B188 = "", "Missing Title", ""), IF($C188 = "", "Missing Date", ""), IF($D188 = "", "Missing Start", ""), IF($E188 = "", "Missing End", ""), IF($G188 = "", "Missing Required Attendees", ""), IF($T188 = "", "Missing Status", ""), IF(AND($D188 &lt;&gt; "", $E188 &lt;&gt; "", $D188 &gt;= $E188), "Start&gt;=End", ""), IF(OR($R188 = "", LEN($R188) &lt; 60, ISNUMBER(MATCH(TRIM($R188), StatusList, 0))), "Body overwritten/short", ""))) = "", "OK", _xlfn.TEXTJOIN(" | ", TRUE, IF($B188 = "", "Missing Title", ""), IF($C188 = "", "Missing Date", ""), IF($D188 = "", "Missing Start", ""), IF($E188 = "", "Missing End", ""), IF($G188 = "", "Missing Required Attendees", ""), IF($T188 = "", "Missing Status", ""), IF(AND($D188 &lt;&gt; "", $E188 &lt;&gt; "", $D188 &gt;= $E188), "Start&gt;=End", ""), IF(OR($R188 = "", LEN($R188) &lt; 60, ISNUMBER(MATCH(TRIM($R188), StatusList, 0))), "Body overwritten/short", "")))))</f>
        <v/>
      </c>
    </row>
    <row r="189" spans="2:22" ht="12.75" customHeight="1">
      <c r="B189" s="25"/>
      <c r="C189" s="34"/>
      <c r="D189" s="38"/>
      <c r="E189" s="38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16" t="str">
        <f>IF($L189&lt;&gt;"","Purpose "&amp;CHAR(10)&amp;$L189&amp;CHAR(10)&amp;CHAR(10),"")&amp;
IF($M189&lt;&gt;"","Stops (in order) "&amp;CHAR(10)&amp;$M189&amp;CHAR(10)&amp;CHAR(10),"")&amp;
IF($N189&lt;&gt;"","To-Do (hard requirements) "&amp;CHAR(10)&amp;$N189&amp;CHAR(10)&amp;CHAR(10),"")&amp;
IF($O189&lt;&gt;"","Suggested Timeline "&amp;CHAR(10)&amp;$O189&amp;CHAR(10)&amp;CHAR(10),"")&amp;
IF($P189&lt;&gt;"","Guardrails "&amp;CHAR(10)&amp;$P189&amp;CHAR(10)&amp;CHAR(10),"")&amp;
IF($Q189&lt;&gt;"","Completion signals "&amp;CHAR(10)&amp;$Q189,"")</f>
        <v/>
      </c>
      <c r="S189" s="25"/>
      <c r="T189" s="25"/>
      <c r="U189" s="8"/>
      <c r="V189" s="8" t="str">
        <f>_xlfn.SINGLE(IF($B189 = "", "", IF(_xlfn.SINGLE(_xlfn.TEXTJOIN(" | ", TRUE, IF($B189 = "", "Missing Title", ""), IF($C189 = "", "Missing Date", ""), IF($D189 = "", "Missing Start", ""), IF($E189 = "", "Missing End", ""), IF($G189 = "", "Missing Required Attendees", ""), IF($T189 = "", "Missing Status", ""), IF(AND($D189 &lt;&gt; "", $E189 &lt;&gt; "", $D189 &gt;= $E189), "Start&gt;=End", ""), IF(OR($R189 = "", LEN($R189) &lt; 60, ISNUMBER(MATCH(TRIM($R189), StatusList, 0))), "Body overwritten/short", ""))) = "", "OK", _xlfn.TEXTJOIN(" | ", TRUE, IF($B189 = "", "Missing Title", ""), IF($C189 = "", "Missing Date", ""), IF($D189 = "", "Missing Start", ""), IF($E189 = "", "Missing End", ""), IF($G189 = "", "Missing Required Attendees", ""), IF($T189 = "", "Missing Status", ""), IF(AND($D189 &lt;&gt; "", $E189 &lt;&gt; "", $D189 &gt;= $E189), "Start&gt;=End", ""), IF(OR($R189 = "", LEN($R189) &lt; 60, ISNUMBER(MATCH(TRIM($R189), StatusList, 0))), "Body overwritten/short", "")))))</f>
        <v/>
      </c>
    </row>
    <row r="190" spans="2:22" ht="12.75" customHeight="1">
      <c r="B190" s="25"/>
      <c r="C190" s="34"/>
      <c r="D190" s="38"/>
      <c r="E190" s="38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16" t="str">
        <f>IF($L190&lt;&gt;"","Purpose "&amp;CHAR(10)&amp;$L190&amp;CHAR(10)&amp;CHAR(10),"")&amp;
IF($M190&lt;&gt;"","Stops (in order) "&amp;CHAR(10)&amp;$M190&amp;CHAR(10)&amp;CHAR(10),"")&amp;
IF($N190&lt;&gt;"","To-Do (hard requirements) "&amp;CHAR(10)&amp;$N190&amp;CHAR(10)&amp;CHAR(10),"")&amp;
IF($O190&lt;&gt;"","Suggested Timeline "&amp;CHAR(10)&amp;$O190&amp;CHAR(10)&amp;CHAR(10),"")&amp;
IF($P190&lt;&gt;"","Guardrails "&amp;CHAR(10)&amp;$P190&amp;CHAR(10)&amp;CHAR(10),"")&amp;
IF($Q190&lt;&gt;"","Completion signals "&amp;CHAR(10)&amp;$Q190,"")</f>
        <v/>
      </c>
      <c r="S190" s="25"/>
      <c r="T190" s="25"/>
      <c r="U190" s="8"/>
      <c r="V190" s="8" t="str">
        <f>_xlfn.SINGLE(IF($B190 = "", "", IF(_xlfn.SINGLE(_xlfn.TEXTJOIN(" | ", TRUE, IF($B190 = "", "Missing Title", ""), IF($C190 = "", "Missing Date", ""), IF($D190 = "", "Missing Start", ""), IF($E190 = "", "Missing End", ""), IF($G190 = "", "Missing Required Attendees", ""), IF($T190 = "", "Missing Status", ""), IF(AND($D190 &lt;&gt; "", $E190 &lt;&gt; "", $D190 &gt;= $E190), "Start&gt;=End", ""), IF(OR($R190 = "", LEN($R190) &lt; 60, ISNUMBER(MATCH(TRIM($R190), StatusList, 0))), "Body overwritten/short", ""))) = "", "OK", _xlfn.TEXTJOIN(" | ", TRUE, IF($B190 = "", "Missing Title", ""), IF($C190 = "", "Missing Date", ""), IF($D190 = "", "Missing Start", ""), IF($E190 = "", "Missing End", ""), IF($G190 = "", "Missing Required Attendees", ""), IF($T190 = "", "Missing Status", ""), IF(AND($D190 &lt;&gt; "", $E190 &lt;&gt; "", $D190 &gt;= $E190), "Start&gt;=End", ""), IF(OR($R190 = "", LEN($R190) &lt; 60, ISNUMBER(MATCH(TRIM($R190), StatusList, 0))), "Body overwritten/short", "")))))</f>
        <v/>
      </c>
    </row>
    <row r="191" spans="2:22" ht="12.75" customHeight="1">
      <c r="B191" s="25"/>
      <c r="C191" s="34"/>
      <c r="D191" s="38"/>
      <c r="E191" s="38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16" t="str">
        <f>IF($L191&lt;&gt;"","Purpose "&amp;CHAR(10)&amp;$L191&amp;CHAR(10)&amp;CHAR(10),"")&amp;
IF($M191&lt;&gt;"","Stops (in order) "&amp;CHAR(10)&amp;$M191&amp;CHAR(10)&amp;CHAR(10),"")&amp;
IF($N191&lt;&gt;"","To-Do (hard requirements) "&amp;CHAR(10)&amp;$N191&amp;CHAR(10)&amp;CHAR(10),"")&amp;
IF($O191&lt;&gt;"","Suggested Timeline "&amp;CHAR(10)&amp;$O191&amp;CHAR(10)&amp;CHAR(10),"")&amp;
IF($P191&lt;&gt;"","Guardrails "&amp;CHAR(10)&amp;$P191&amp;CHAR(10)&amp;CHAR(10),"")&amp;
IF($Q191&lt;&gt;"","Completion signals "&amp;CHAR(10)&amp;$Q191,"")</f>
        <v/>
      </c>
      <c r="S191" s="25"/>
      <c r="T191" s="25"/>
      <c r="U191" s="8"/>
      <c r="V191" s="8" t="str">
        <f>_xlfn.SINGLE(IF($B191 = "", "", IF(_xlfn.SINGLE(_xlfn.TEXTJOIN(" | ", TRUE, IF($B191 = "", "Missing Title", ""), IF($C191 = "", "Missing Date", ""), IF($D191 = "", "Missing Start", ""), IF($E191 = "", "Missing End", ""), IF($G191 = "", "Missing Required Attendees", ""), IF($T191 = "", "Missing Status", ""), IF(AND($D191 &lt;&gt; "", $E191 &lt;&gt; "", $D191 &gt;= $E191), "Start&gt;=End", ""), IF(OR($R191 = "", LEN($R191) &lt; 60, ISNUMBER(MATCH(TRIM($R191), StatusList, 0))), "Body overwritten/short", ""))) = "", "OK", _xlfn.TEXTJOIN(" | ", TRUE, IF($B191 = "", "Missing Title", ""), IF($C191 = "", "Missing Date", ""), IF($D191 = "", "Missing Start", ""), IF($E191 = "", "Missing End", ""), IF($G191 = "", "Missing Required Attendees", ""), IF($T191 = "", "Missing Status", ""), IF(AND($D191 &lt;&gt; "", $E191 &lt;&gt; "", $D191 &gt;= $E191), "Start&gt;=End", ""), IF(OR($R191 = "", LEN($R191) &lt; 60, ISNUMBER(MATCH(TRIM($R191), StatusList, 0))), "Body overwritten/short", "")))))</f>
        <v/>
      </c>
    </row>
    <row r="192" spans="2:22" ht="12.75" customHeight="1">
      <c r="B192" s="25"/>
      <c r="C192" s="34"/>
      <c r="D192" s="38"/>
      <c r="E192" s="38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16" t="str">
        <f>IF($L192&lt;&gt;"","Purpose "&amp;CHAR(10)&amp;$L192&amp;CHAR(10)&amp;CHAR(10),"")&amp;
IF($M192&lt;&gt;"","Stops (in order) "&amp;CHAR(10)&amp;$M192&amp;CHAR(10)&amp;CHAR(10),"")&amp;
IF($N192&lt;&gt;"","To-Do (hard requirements) "&amp;CHAR(10)&amp;$N192&amp;CHAR(10)&amp;CHAR(10),"")&amp;
IF($O192&lt;&gt;"","Suggested Timeline "&amp;CHAR(10)&amp;$O192&amp;CHAR(10)&amp;CHAR(10),"")&amp;
IF($P192&lt;&gt;"","Guardrails "&amp;CHAR(10)&amp;$P192&amp;CHAR(10)&amp;CHAR(10),"")&amp;
IF($Q192&lt;&gt;"","Completion signals "&amp;CHAR(10)&amp;$Q192,"")</f>
        <v/>
      </c>
      <c r="S192" s="25"/>
      <c r="T192" s="25"/>
      <c r="U192" s="8"/>
      <c r="V192" s="8" t="str">
        <f>_xlfn.SINGLE(IF($B192 = "", "", IF(_xlfn.SINGLE(_xlfn.TEXTJOIN(" | ", TRUE, IF($B192 = "", "Missing Title", ""), IF($C192 = "", "Missing Date", ""), IF($D192 = "", "Missing Start", ""), IF($E192 = "", "Missing End", ""), IF($G192 = "", "Missing Required Attendees", ""), IF($T192 = "", "Missing Status", ""), IF(AND($D192 &lt;&gt; "", $E192 &lt;&gt; "", $D192 &gt;= $E192), "Start&gt;=End", ""), IF(OR($R192 = "", LEN($R192) &lt; 60, ISNUMBER(MATCH(TRIM($R192), StatusList, 0))), "Body overwritten/short", ""))) = "", "OK", _xlfn.TEXTJOIN(" | ", TRUE, IF($B192 = "", "Missing Title", ""), IF($C192 = "", "Missing Date", ""), IF($D192 = "", "Missing Start", ""), IF($E192 = "", "Missing End", ""), IF($G192 = "", "Missing Required Attendees", ""), IF($T192 = "", "Missing Status", ""), IF(AND($D192 &lt;&gt; "", $E192 &lt;&gt; "", $D192 &gt;= $E192), "Start&gt;=End", ""), IF(OR($R192 = "", LEN($R192) &lt; 60, ISNUMBER(MATCH(TRIM($R192), StatusList, 0))), "Body overwritten/short", "")))))</f>
        <v/>
      </c>
    </row>
    <row r="193" spans="2:22" ht="12.75" customHeight="1">
      <c r="B193" s="25"/>
      <c r="C193" s="34"/>
      <c r="D193" s="38"/>
      <c r="E193" s="38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16" t="str">
        <f>IF($L193&lt;&gt;"","Purpose "&amp;CHAR(10)&amp;$L193&amp;CHAR(10)&amp;CHAR(10),"")&amp;
IF($M193&lt;&gt;"","Stops (in order) "&amp;CHAR(10)&amp;$M193&amp;CHAR(10)&amp;CHAR(10),"")&amp;
IF($N193&lt;&gt;"","To-Do (hard requirements) "&amp;CHAR(10)&amp;$N193&amp;CHAR(10)&amp;CHAR(10),"")&amp;
IF($O193&lt;&gt;"","Suggested Timeline "&amp;CHAR(10)&amp;$O193&amp;CHAR(10)&amp;CHAR(10),"")&amp;
IF($P193&lt;&gt;"","Guardrails "&amp;CHAR(10)&amp;$P193&amp;CHAR(10)&amp;CHAR(10),"")&amp;
IF($Q193&lt;&gt;"","Completion signals "&amp;CHAR(10)&amp;$Q193,"")</f>
        <v/>
      </c>
      <c r="S193" s="25"/>
      <c r="T193" s="25"/>
      <c r="U193" s="8"/>
      <c r="V193" s="8" t="str">
        <f>_xlfn.SINGLE(IF($B193 = "", "", IF(_xlfn.SINGLE(_xlfn.TEXTJOIN(" | ", TRUE, IF($B193 = "", "Missing Title", ""), IF($C193 = "", "Missing Date", ""), IF($D193 = "", "Missing Start", ""), IF($E193 = "", "Missing End", ""), IF($G193 = "", "Missing Required Attendees", ""), IF($T193 = "", "Missing Status", ""), IF(AND($D193 &lt;&gt; "", $E193 &lt;&gt; "", $D193 &gt;= $E193), "Start&gt;=End", ""), IF(OR($R193 = "", LEN($R193) &lt; 60, ISNUMBER(MATCH(TRIM($R193), StatusList, 0))), "Body overwritten/short", ""))) = "", "OK", _xlfn.TEXTJOIN(" | ", TRUE, IF($B193 = "", "Missing Title", ""), IF($C193 = "", "Missing Date", ""), IF($D193 = "", "Missing Start", ""), IF($E193 = "", "Missing End", ""), IF($G193 = "", "Missing Required Attendees", ""), IF($T193 = "", "Missing Status", ""), IF(AND($D193 &lt;&gt; "", $E193 &lt;&gt; "", $D193 &gt;= $E193), "Start&gt;=End", ""), IF(OR($R193 = "", LEN($R193) &lt; 60, ISNUMBER(MATCH(TRIM($R193), StatusList, 0))), "Body overwritten/short", "")))))</f>
        <v/>
      </c>
    </row>
    <row r="194" spans="2:22" ht="12.75" customHeight="1">
      <c r="B194" s="25"/>
      <c r="C194" s="34"/>
      <c r="D194" s="38"/>
      <c r="E194" s="38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16" t="str">
        <f>IF($L194&lt;&gt;"","Purpose "&amp;CHAR(10)&amp;$L194&amp;CHAR(10)&amp;CHAR(10),"")&amp;
IF($M194&lt;&gt;"","Stops (in order) "&amp;CHAR(10)&amp;$M194&amp;CHAR(10)&amp;CHAR(10),"")&amp;
IF($N194&lt;&gt;"","To-Do (hard requirements) "&amp;CHAR(10)&amp;$N194&amp;CHAR(10)&amp;CHAR(10),"")&amp;
IF($O194&lt;&gt;"","Suggested Timeline "&amp;CHAR(10)&amp;$O194&amp;CHAR(10)&amp;CHAR(10),"")&amp;
IF($P194&lt;&gt;"","Guardrails "&amp;CHAR(10)&amp;$P194&amp;CHAR(10)&amp;CHAR(10),"")&amp;
IF($Q194&lt;&gt;"","Completion signals "&amp;CHAR(10)&amp;$Q194,"")</f>
        <v/>
      </c>
      <c r="S194" s="25"/>
      <c r="T194" s="25"/>
      <c r="U194" s="8"/>
      <c r="V194" s="8" t="str">
        <f>_xlfn.SINGLE(IF($B194 = "", "", IF(_xlfn.SINGLE(_xlfn.TEXTJOIN(" | ", TRUE, IF($B194 = "", "Missing Title", ""), IF($C194 = "", "Missing Date", ""), IF($D194 = "", "Missing Start", ""), IF($E194 = "", "Missing End", ""), IF($G194 = "", "Missing Required Attendees", ""), IF($T194 = "", "Missing Status", ""), IF(AND($D194 &lt;&gt; "", $E194 &lt;&gt; "", $D194 &gt;= $E194), "Start&gt;=End", ""), IF(OR($R194 = "", LEN($R194) &lt; 60, ISNUMBER(MATCH(TRIM($R194), StatusList, 0))), "Body overwritten/short", ""))) = "", "OK", _xlfn.TEXTJOIN(" | ", TRUE, IF($B194 = "", "Missing Title", ""), IF($C194 = "", "Missing Date", ""), IF($D194 = "", "Missing Start", ""), IF($E194 = "", "Missing End", ""), IF($G194 = "", "Missing Required Attendees", ""), IF($T194 = "", "Missing Status", ""), IF(AND($D194 &lt;&gt; "", $E194 &lt;&gt; "", $D194 &gt;= $E194), "Start&gt;=End", ""), IF(OR($R194 = "", LEN($R194) &lt; 60, ISNUMBER(MATCH(TRIM($R194), StatusList, 0))), "Body overwritten/short", "")))))</f>
        <v/>
      </c>
    </row>
    <row r="195" spans="2:22" ht="12.75" customHeight="1">
      <c r="B195" s="25"/>
      <c r="C195" s="34"/>
      <c r="D195" s="38"/>
      <c r="E195" s="38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16" t="str">
        <f>IF($L195&lt;&gt;"","Purpose "&amp;CHAR(10)&amp;$L195&amp;CHAR(10)&amp;CHAR(10),"")&amp;
IF($M195&lt;&gt;"","Stops (in order) "&amp;CHAR(10)&amp;$M195&amp;CHAR(10)&amp;CHAR(10),"")&amp;
IF($N195&lt;&gt;"","To-Do (hard requirements) "&amp;CHAR(10)&amp;$N195&amp;CHAR(10)&amp;CHAR(10),"")&amp;
IF($O195&lt;&gt;"","Suggested Timeline "&amp;CHAR(10)&amp;$O195&amp;CHAR(10)&amp;CHAR(10),"")&amp;
IF($P195&lt;&gt;"","Guardrails "&amp;CHAR(10)&amp;$P195&amp;CHAR(10)&amp;CHAR(10),"")&amp;
IF($Q195&lt;&gt;"","Completion signals "&amp;CHAR(10)&amp;$Q195,"")</f>
        <v/>
      </c>
      <c r="S195" s="25"/>
      <c r="T195" s="25"/>
      <c r="U195" s="8"/>
      <c r="V195" s="8" t="str">
        <f>_xlfn.SINGLE(IF($B195 = "", "", IF(_xlfn.SINGLE(_xlfn.TEXTJOIN(" | ", TRUE, IF($B195 = "", "Missing Title", ""), IF($C195 = "", "Missing Date", ""), IF($D195 = "", "Missing Start", ""), IF($E195 = "", "Missing End", ""), IF($G195 = "", "Missing Required Attendees", ""), IF($T195 = "", "Missing Status", ""), IF(AND($D195 &lt;&gt; "", $E195 &lt;&gt; "", $D195 &gt;= $E195), "Start&gt;=End", ""), IF(OR($R195 = "", LEN($R195) &lt; 60, ISNUMBER(MATCH(TRIM($R195), StatusList, 0))), "Body overwritten/short", ""))) = "", "OK", _xlfn.TEXTJOIN(" | ", TRUE, IF($B195 = "", "Missing Title", ""), IF($C195 = "", "Missing Date", ""), IF($D195 = "", "Missing Start", ""), IF($E195 = "", "Missing End", ""), IF($G195 = "", "Missing Required Attendees", ""), IF($T195 = "", "Missing Status", ""), IF(AND($D195 &lt;&gt; "", $E195 &lt;&gt; "", $D195 &gt;= $E195), "Start&gt;=End", ""), IF(OR($R195 = "", LEN($R195) &lt; 60, ISNUMBER(MATCH(TRIM($R195), StatusList, 0))), "Body overwritten/short", "")))))</f>
        <v/>
      </c>
    </row>
    <row r="196" spans="2:22" ht="12.75" customHeight="1">
      <c r="B196" s="25"/>
      <c r="C196" s="34"/>
      <c r="D196" s="38"/>
      <c r="E196" s="38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16" t="str">
        <f>IF($L196&lt;&gt;"","Purpose "&amp;CHAR(10)&amp;$L196&amp;CHAR(10)&amp;CHAR(10),"")&amp;
IF($M196&lt;&gt;"","Stops (in order) "&amp;CHAR(10)&amp;$M196&amp;CHAR(10)&amp;CHAR(10),"")&amp;
IF($N196&lt;&gt;"","To-Do (hard requirements) "&amp;CHAR(10)&amp;$N196&amp;CHAR(10)&amp;CHAR(10),"")&amp;
IF($O196&lt;&gt;"","Suggested Timeline "&amp;CHAR(10)&amp;$O196&amp;CHAR(10)&amp;CHAR(10),"")&amp;
IF($P196&lt;&gt;"","Guardrails "&amp;CHAR(10)&amp;$P196&amp;CHAR(10)&amp;CHAR(10),"")&amp;
IF($Q196&lt;&gt;"","Completion signals "&amp;CHAR(10)&amp;$Q196,"")</f>
        <v/>
      </c>
      <c r="S196" s="25"/>
      <c r="T196" s="25"/>
      <c r="U196" s="8"/>
      <c r="V196" s="8" t="str">
        <f>_xlfn.SINGLE(IF($B196 = "", "", IF(_xlfn.SINGLE(_xlfn.TEXTJOIN(" | ", TRUE, IF($B196 = "", "Missing Title", ""), IF($C196 = "", "Missing Date", ""), IF($D196 = "", "Missing Start", ""), IF($E196 = "", "Missing End", ""), IF($G196 = "", "Missing Required Attendees", ""), IF($T196 = "", "Missing Status", ""), IF(AND($D196 &lt;&gt; "", $E196 &lt;&gt; "", $D196 &gt;= $E196), "Start&gt;=End", ""), IF(OR($R196 = "", LEN($R196) &lt; 60, ISNUMBER(MATCH(TRIM($R196), StatusList, 0))), "Body overwritten/short", ""))) = "", "OK", _xlfn.TEXTJOIN(" | ", TRUE, IF($B196 = "", "Missing Title", ""), IF($C196 = "", "Missing Date", ""), IF($D196 = "", "Missing Start", ""), IF($E196 = "", "Missing End", ""), IF($G196 = "", "Missing Required Attendees", ""), IF($T196 = "", "Missing Status", ""), IF(AND($D196 &lt;&gt; "", $E196 &lt;&gt; "", $D196 &gt;= $E196), "Start&gt;=End", ""), IF(OR($R196 = "", LEN($R196) &lt; 60, ISNUMBER(MATCH(TRIM($R196), StatusList, 0))), "Body overwritten/short", "")))))</f>
        <v/>
      </c>
    </row>
    <row r="197" spans="2:22" ht="12.75" customHeight="1">
      <c r="B197" s="25"/>
      <c r="C197" s="34"/>
      <c r="D197" s="38"/>
      <c r="E197" s="38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16" t="str">
        <f>IF($L197&lt;&gt;"","Purpose "&amp;CHAR(10)&amp;$L197&amp;CHAR(10)&amp;CHAR(10),"")&amp;
IF($M197&lt;&gt;"","Stops (in order) "&amp;CHAR(10)&amp;$M197&amp;CHAR(10)&amp;CHAR(10),"")&amp;
IF($N197&lt;&gt;"","To-Do (hard requirements) "&amp;CHAR(10)&amp;$N197&amp;CHAR(10)&amp;CHAR(10),"")&amp;
IF($O197&lt;&gt;"","Suggested Timeline "&amp;CHAR(10)&amp;$O197&amp;CHAR(10)&amp;CHAR(10),"")&amp;
IF($P197&lt;&gt;"","Guardrails "&amp;CHAR(10)&amp;$P197&amp;CHAR(10)&amp;CHAR(10),"")&amp;
IF($Q197&lt;&gt;"","Completion signals "&amp;CHAR(10)&amp;$Q197,"")</f>
        <v/>
      </c>
      <c r="S197" s="25"/>
      <c r="T197" s="25"/>
      <c r="U197" s="8"/>
      <c r="V197" s="8" t="str">
        <f>_xlfn.SINGLE(IF($B197 = "", "", IF(_xlfn.SINGLE(_xlfn.TEXTJOIN(" | ", TRUE, IF($B197 = "", "Missing Title", ""), IF($C197 = "", "Missing Date", ""), IF($D197 = "", "Missing Start", ""), IF($E197 = "", "Missing End", ""), IF($G197 = "", "Missing Required Attendees", ""), IF($T197 = "", "Missing Status", ""), IF(AND($D197 &lt;&gt; "", $E197 &lt;&gt; "", $D197 &gt;= $E197), "Start&gt;=End", ""), IF(OR($R197 = "", LEN($R197) &lt; 60, ISNUMBER(MATCH(TRIM($R197), StatusList, 0))), "Body overwritten/short", ""))) = "", "OK", _xlfn.TEXTJOIN(" | ", TRUE, IF($B197 = "", "Missing Title", ""), IF($C197 = "", "Missing Date", ""), IF($D197 = "", "Missing Start", ""), IF($E197 = "", "Missing End", ""), IF($G197 = "", "Missing Required Attendees", ""), IF($T197 = "", "Missing Status", ""), IF(AND($D197 &lt;&gt; "", $E197 &lt;&gt; "", $D197 &gt;= $E197), "Start&gt;=End", ""), IF(OR($R197 = "", LEN($R197) &lt; 60, ISNUMBER(MATCH(TRIM($R197), StatusList, 0))), "Body overwritten/short", "")))))</f>
        <v/>
      </c>
    </row>
    <row r="198" spans="2:22" ht="12.75" customHeight="1">
      <c r="B198" s="25"/>
      <c r="C198" s="34"/>
      <c r="D198" s="38"/>
      <c r="E198" s="38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16" t="str">
        <f>IF($L198&lt;&gt;"","Purpose "&amp;CHAR(10)&amp;$L198&amp;CHAR(10)&amp;CHAR(10),"")&amp;
IF($M198&lt;&gt;"","Stops (in order) "&amp;CHAR(10)&amp;$M198&amp;CHAR(10)&amp;CHAR(10),"")&amp;
IF($N198&lt;&gt;"","To-Do (hard requirements) "&amp;CHAR(10)&amp;$N198&amp;CHAR(10)&amp;CHAR(10),"")&amp;
IF($O198&lt;&gt;"","Suggested Timeline "&amp;CHAR(10)&amp;$O198&amp;CHAR(10)&amp;CHAR(10),"")&amp;
IF($P198&lt;&gt;"","Guardrails "&amp;CHAR(10)&amp;$P198&amp;CHAR(10)&amp;CHAR(10),"")&amp;
IF($Q198&lt;&gt;"","Completion signals "&amp;CHAR(10)&amp;$Q198,"")</f>
        <v/>
      </c>
      <c r="S198" s="25"/>
      <c r="T198" s="25"/>
      <c r="U198" s="8"/>
      <c r="V198" s="8" t="str">
        <f>_xlfn.SINGLE(IF($B198 = "", "", IF(_xlfn.SINGLE(_xlfn.TEXTJOIN(" | ", TRUE, IF($B198 = "", "Missing Title", ""), IF($C198 = "", "Missing Date", ""), IF($D198 = "", "Missing Start", ""), IF($E198 = "", "Missing End", ""), IF($G198 = "", "Missing Required Attendees", ""), IF($T198 = "", "Missing Status", ""), IF(AND($D198 &lt;&gt; "", $E198 &lt;&gt; "", $D198 &gt;= $E198), "Start&gt;=End", ""), IF(OR($R198 = "", LEN($R198) &lt; 60, ISNUMBER(MATCH(TRIM($R198), StatusList, 0))), "Body overwritten/short", ""))) = "", "OK", _xlfn.TEXTJOIN(" | ", TRUE, IF($B198 = "", "Missing Title", ""), IF($C198 = "", "Missing Date", ""), IF($D198 = "", "Missing Start", ""), IF($E198 = "", "Missing End", ""), IF($G198 = "", "Missing Required Attendees", ""), IF($T198 = "", "Missing Status", ""), IF(AND($D198 &lt;&gt; "", $E198 &lt;&gt; "", $D198 &gt;= $E198), "Start&gt;=End", ""), IF(OR($R198 = "", LEN($R198) &lt; 60, ISNUMBER(MATCH(TRIM($R198), StatusList, 0))), "Body overwritten/short", "")))))</f>
        <v/>
      </c>
    </row>
    <row r="199" spans="2:22" ht="12.75" customHeight="1">
      <c r="B199" s="25"/>
      <c r="C199" s="34"/>
      <c r="D199" s="38"/>
      <c r="E199" s="38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16" t="str">
        <f>IF($L199&lt;&gt;"","Purpose "&amp;CHAR(10)&amp;$L199&amp;CHAR(10)&amp;CHAR(10),"")&amp;
IF($M199&lt;&gt;"","Stops (in order) "&amp;CHAR(10)&amp;$M199&amp;CHAR(10)&amp;CHAR(10),"")&amp;
IF($N199&lt;&gt;"","To-Do (hard requirements) "&amp;CHAR(10)&amp;$N199&amp;CHAR(10)&amp;CHAR(10),"")&amp;
IF($O199&lt;&gt;"","Suggested Timeline "&amp;CHAR(10)&amp;$O199&amp;CHAR(10)&amp;CHAR(10),"")&amp;
IF($P199&lt;&gt;"","Guardrails "&amp;CHAR(10)&amp;$P199&amp;CHAR(10)&amp;CHAR(10),"")&amp;
IF($Q199&lt;&gt;"","Completion signals "&amp;CHAR(10)&amp;$Q199,"")</f>
        <v/>
      </c>
      <c r="S199" s="25"/>
      <c r="T199" s="25"/>
      <c r="U199" s="8"/>
      <c r="V199" s="8" t="str">
        <f>_xlfn.SINGLE(IF($B199 = "", "", IF(_xlfn.SINGLE(_xlfn.TEXTJOIN(" | ", TRUE, IF($B199 = "", "Missing Title", ""), IF($C199 = "", "Missing Date", ""), IF($D199 = "", "Missing Start", ""), IF($E199 = "", "Missing End", ""), IF($G199 = "", "Missing Required Attendees", ""), IF($T199 = "", "Missing Status", ""), IF(AND($D199 &lt;&gt; "", $E199 &lt;&gt; "", $D199 &gt;= $E199), "Start&gt;=End", ""), IF(OR($R199 = "", LEN($R199) &lt; 60, ISNUMBER(MATCH(TRIM($R199), StatusList, 0))), "Body overwritten/short", ""))) = "", "OK", _xlfn.TEXTJOIN(" | ", TRUE, IF($B199 = "", "Missing Title", ""), IF($C199 = "", "Missing Date", ""), IF($D199 = "", "Missing Start", ""), IF($E199 = "", "Missing End", ""), IF($G199 = "", "Missing Required Attendees", ""), IF($T199 = "", "Missing Status", ""), IF(AND($D199 &lt;&gt; "", $E199 &lt;&gt; "", $D199 &gt;= $E199), "Start&gt;=End", ""), IF(OR($R199 = "", LEN($R199) &lt; 60, ISNUMBER(MATCH(TRIM($R199), StatusList, 0))), "Body overwritten/short", "")))))</f>
        <v/>
      </c>
    </row>
    <row r="200" spans="2:22" ht="12.75" customHeight="1">
      <c r="B200" s="25"/>
      <c r="C200" s="34"/>
      <c r="D200" s="38"/>
      <c r="E200" s="38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16" t="str">
        <f>IF($L200&lt;&gt;"","Purpose "&amp;CHAR(10)&amp;$L200&amp;CHAR(10)&amp;CHAR(10),"")&amp;
IF($M200&lt;&gt;"","Stops (in order) "&amp;CHAR(10)&amp;$M200&amp;CHAR(10)&amp;CHAR(10),"")&amp;
IF($N200&lt;&gt;"","To-Do (hard requirements) "&amp;CHAR(10)&amp;$N200&amp;CHAR(10)&amp;CHAR(10),"")&amp;
IF($O200&lt;&gt;"","Suggested Timeline "&amp;CHAR(10)&amp;$O200&amp;CHAR(10)&amp;CHAR(10),"")&amp;
IF($P200&lt;&gt;"","Guardrails "&amp;CHAR(10)&amp;$P200&amp;CHAR(10)&amp;CHAR(10),"")&amp;
IF($Q200&lt;&gt;"","Completion signals "&amp;CHAR(10)&amp;$Q200,"")</f>
        <v/>
      </c>
      <c r="S200" s="25"/>
      <c r="T200" s="25"/>
      <c r="U200" s="8"/>
      <c r="V200" s="8" t="str">
        <f>_xlfn.SINGLE(IF($B200 = "", "", IF(_xlfn.SINGLE(_xlfn.TEXTJOIN(" | ", TRUE, IF($B200 = "", "Missing Title", ""), IF($C200 = "", "Missing Date", ""), IF($D200 = "", "Missing Start", ""), IF($E200 = "", "Missing End", ""), IF($G200 = "", "Missing Required Attendees", ""), IF($T200 = "", "Missing Status", ""), IF(AND($D200 &lt;&gt; "", $E200 &lt;&gt; "", $D200 &gt;= $E200), "Start&gt;=End", ""), IF(OR($R200 = "", LEN($R200) &lt; 60, ISNUMBER(MATCH(TRIM($R200), StatusList, 0))), "Body overwritten/short", ""))) = "", "OK", _xlfn.TEXTJOIN(" | ", TRUE, IF($B200 = "", "Missing Title", ""), IF($C200 = "", "Missing Date", ""), IF($D200 = "", "Missing Start", ""), IF($E200 = "", "Missing End", ""), IF($G200 = "", "Missing Required Attendees", ""), IF($T200 = "", "Missing Status", ""), IF(AND($D200 &lt;&gt; "", $E200 &lt;&gt; "", $D200 &gt;= $E200), "Start&gt;=End", ""), IF(OR($R200 = "", LEN($R200) &lt; 60, ISNUMBER(MATCH(TRIM($R200), StatusList, 0))), "Body overwritten/short", "")))))</f>
        <v/>
      </c>
    </row>
    <row r="201" spans="2:22" ht="12.75" customHeight="1">
      <c r="B201" s="25"/>
      <c r="C201" s="34"/>
      <c r="D201" s="38"/>
      <c r="E201" s="38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16" t="str">
        <f>IF($L201&lt;&gt;"","Purpose "&amp;CHAR(10)&amp;$L201&amp;CHAR(10)&amp;CHAR(10),"")&amp;
IF($M201&lt;&gt;"","Stops (in order) "&amp;CHAR(10)&amp;$M201&amp;CHAR(10)&amp;CHAR(10),"")&amp;
IF($N201&lt;&gt;"","To-Do (hard requirements) "&amp;CHAR(10)&amp;$N201&amp;CHAR(10)&amp;CHAR(10),"")&amp;
IF($O201&lt;&gt;"","Suggested Timeline "&amp;CHAR(10)&amp;$O201&amp;CHAR(10)&amp;CHAR(10),"")&amp;
IF($P201&lt;&gt;"","Guardrails "&amp;CHAR(10)&amp;$P201&amp;CHAR(10)&amp;CHAR(10),"")&amp;
IF($Q201&lt;&gt;"","Completion signals "&amp;CHAR(10)&amp;$Q201,"")</f>
        <v/>
      </c>
      <c r="S201" s="25"/>
      <c r="T201" s="25"/>
      <c r="U201" s="8"/>
      <c r="V201" s="8" t="str">
        <f>_xlfn.SINGLE(IF($B201 = "", "", IF(_xlfn.SINGLE(_xlfn.TEXTJOIN(" | ", TRUE, IF($B201 = "", "Missing Title", ""), IF($C201 = "", "Missing Date", ""), IF($D201 = "", "Missing Start", ""), IF($E201 = "", "Missing End", ""), IF($G201 = "", "Missing Required Attendees", ""), IF($T201 = "", "Missing Status", ""), IF(AND($D201 &lt;&gt; "", $E201 &lt;&gt; "", $D201 &gt;= $E201), "Start&gt;=End", ""), IF(OR($R201 = "", LEN($R201) &lt; 60, ISNUMBER(MATCH(TRIM($R201), StatusList, 0))), "Body overwritten/short", ""))) = "", "OK", _xlfn.TEXTJOIN(" | ", TRUE, IF($B201 = "", "Missing Title", ""), IF($C201 = "", "Missing Date", ""), IF($D201 = "", "Missing Start", ""), IF($E201 = "", "Missing End", ""), IF($G201 = "", "Missing Required Attendees", ""), IF($T201 = "", "Missing Status", ""), IF(AND($D201 &lt;&gt; "", $E201 &lt;&gt; "", $D201 &gt;= $E201), "Start&gt;=End", ""), IF(OR($R201 = "", LEN($R201) &lt; 60, ISNUMBER(MATCH(TRIM($R201), StatusList, 0))), "Body overwritten/short", "")))))</f>
        <v/>
      </c>
    </row>
    <row r="202" spans="2:22" ht="12.75" customHeight="1">
      <c r="B202" s="25"/>
      <c r="C202" s="34"/>
      <c r="D202" s="38"/>
      <c r="E202" s="38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16" t="str">
        <f>IF($L202&lt;&gt;"","Purpose "&amp;CHAR(10)&amp;$L202&amp;CHAR(10)&amp;CHAR(10),"")&amp;
IF($M202&lt;&gt;"","Stops (in order) "&amp;CHAR(10)&amp;$M202&amp;CHAR(10)&amp;CHAR(10),"")&amp;
IF($N202&lt;&gt;"","To-Do (hard requirements) "&amp;CHAR(10)&amp;$N202&amp;CHAR(10)&amp;CHAR(10),"")&amp;
IF($O202&lt;&gt;"","Suggested Timeline "&amp;CHAR(10)&amp;$O202&amp;CHAR(10)&amp;CHAR(10),"")&amp;
IF($P202&lt;&gt;"","Guardrails "&amp;CHAR(10)&amp;$P202&amp;CHAR(10)&amp;CHAR(10),"")&amp;
IF($Q202&lt;&gt;"","Completion signals "&amp;CHAR(10)&amp;$Q202,"")</f>
        <v/>
      </c>
      <c r="S202" s="25"/>
      <c r="T202" s="25"/>
      <c r="U202" s="8"/>
      <c r="V202" s="8" t="str">
        <f>_xlfn.SINGLE(IF($B202 = "", "", IF(_xlfn.SINGLE(_xlfn.TEXTJOIN(" | ", TRUE, IF($B202 = "", "Missing Title", ""), IF($C202 = "", "Missing Date", ""), IF($D202 = "", "Missing Start", ""), IF($E202 = "", "Missing End", ""), IF($G202 = "", "Missing Required Attendees", ""), IF($T202 = "", "Missing Status", ""), IF(AND($D202 &lt;&gt; "", $E202 &lt;&gt; "", $D202 &gt;= $E202), "Start&gt;=End", ""), IF(OR($R202 = "", LEN($R202) &lt; 60, ISNUMBER(MATCH(TRIM($R202), StatusList, 0))), "Body overwritten/short", ""))) = "", "OK", _xlfn.TEXTJOIN(" | ", TRUE, IF($B202 = "", "Missing Title", ""), IF($C202 = "", "Missing Date", ""), IF($D202 = "", "Missing Start", ""), IF($E202 = "", "Missing End", ""), IF($G202 = "", "Missing Required Attendees", ""), IF($T202 = "", "Missing Status", ""), IF(AND($D202 &lt;&gt; "", $E202 &lt;&gt; "", $D202 &gt;= $E202), "Start&gt;=End", ""), IF(OR($R202 = "", LEN($R202) &lt; 60, ISNUMBER(MATCH(TRIM($R202), StatusList, 0))), "Body overwritten/short", "")))))</f>
        <v/>
      </c>
    </row>
    <row r="203" spans="2:22" ht="12.75" customHeight="1">
      <c r="B203" s="25"/>
      <c r="C203" s="34"/>
      <c r="D203" s="38"/>
      <c r="E203" s="38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16" t="str">
        <f>IF($L203&lt;&gt;"","Purpose "&amp;CHAR(10)&amp;$L203&amp;CHAR(10)&amp;CHAR(10),"")&amp;
IF($M203&lt;&gt;"","Stops (in order) "&amp;CHAR(10)&amp;$M203&amp;CHAR(10)&amp;CHAR(10),"")&amp;
IF($N203&lt;&gt;"","To-Do (hard requirements) "&amp;CHAR(10)&amp;$N203&amp;CHAR(10)&amp;CHAR(10),"")&amp;
IF($O203&lt;&gt;"","Suggested Timeline "&amp;CHAR(10)&amp;$O203&amp;CHAR(10)&amp;CHAR(10),"")&amp;
IF($P203&lt;&gt;"","Guardrails "&amp;CHAR(10)&amp;$P203&amp;CHAR(10)&amp;CHAR(10),"")&amp;
IF($Q203&lt;&gt;"","Completion signals "&amp;CHAR(10)&amp;$Q203,"")</f>
        <v/>
      </c>
      <c r="S203" s="25"/>
      <c r="T203" s="25"/>
      <c r="U203" s="8"/>
      <c r="V203" s="8" t="str">
        <f>_xlfn.SINGLE(IF($B203 = "", "", IF(_xlfn.SINGLE(_xlfn.TEXTJOIN(" | ", TRUE, IF($B203 = "", "Missing Title", ""), IF($C203 = "", "Missing Date", ""), IF($D203 = "", "Missing Start", ""), IF($E203 = "", "Missing End", ""), IF($G203 = "", "Missing Required Attendees", ""), IF($T203 = "", "Missing Status", ""), IF(AND($D203 &lt;&gt; "", $E203 &lt;&gt; "", $D203 &gt;= $E203), "Start&gt;=End", ""), IF(OR($R203 = "", LEN($R203) &lt; 60, ISNUMBER(MATCH(TRIM($R203), StatusList, 0))), "Body overwritten/short", ""))) = "", "OK", _xlfn.TEXTJOIN(" | ", TRUE, IF($B203 = "", "Missing Title", ""), IF($C203 = "", "Missing Date", ""), IF($D203 = "", "Missing Start", ""), IF($E203 = "", "Missing End", ""), IF($G203 = "", "Missing Required Attendees", ""), IF($T203 = "", "Missing Status", ""), IF(AND($D203 &lt;&gt; "", $E203 &lt;&gt; "", $D203 &gt;= $E203), "Start&gt;=End", ""), IF(OR($R203 = "", LEN($R203) &lt; 60, ISNUMBER(MATCH(TRIM($R203), StatusList, 0))), "Body overwritten/short", "")))))</f>
        <v/>
      </c>
    </row>
    <row r="204" spans="2:22" ht="12.75" customHeight="1">
      <c r="B204" s="25"/>
      <c r="C204" s="34"/>
      <c r="D204" s="38"/>
      <c r="E204" s="38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16" t="str">
        <f>IF($L204&lt;&gt;"","Purpose "&amp;CHAR(10)&amp;$L204&amp;CHAR(10)&amp;CHAR(10),"")&amp;
IF($M204&lt;&gt;"","Stops (in order) "&amp;CHAR(10)&amp;$M204&amp;CHAR(10)&amp;CHAR(10),"")&amp;
IF($N204&lt;&gt;"","To-Do (hard requirements) "&amp;CHAR(10)&amp;$N204&amp;CHAR(10)&amp;CHAR(10),"")&amp;
IF($O204&lt;&gt;"","Suggested Timeline "&amp;CHAR(10)&amp;$O204&amp;CHAR(10)&amp;CHAR(10),"")&amp;
IF($P204&lt;&gt;"","Guardrails "&amp;CHAR(10)&amp;$P204&amp;CHAR(10)&amp;CHAR(10),"")&amp;
IF($Q204&lt;&gt;"","Completion signals "&amp;CHAR(10)&amp;$Q204,"")</f>
        <v/>
      </c>
      <c r="S204" s="25"/>
      <c r="T204" s="25"/>
      <c r="U204" s="8"/>
      <c r="V204" s="8" t="str">
        <f>_xlfn.SINGLE(IF($B204 = "", "", IF(_xlfn.SINGLE(_xlfn.TEXTJOIN(" | ", TRUE, IF($B204 = "", "Missing Title", ""), IF($C204 = "", "Missing Date", ""), IF($D204 = "", "Missing Start", ""), IF($E204 = "", "Missing End", ""), IF($G204 = "", "Missing Required Attendees", ""), IF($T204 = "", "Missing Status", ""), IF(AND($D204 &lt;&gt; "", $E204 &lt;&gt; "", $D204 &gt;= $E204), "Start&gt;=End", ""), IF(OR($R204 = "", LEN($R204) &lt; 60, ISNUMBER(MATCH(TRIM($R204), StatusList, 0))), "Body overwritten/short", ""))) = "", "OK", _xlfn.TEXTJOIN(" | ", TRUE, IF($B204 = "", "Missing Title", ""), IF($C204 = "", "Missing Date", ""), IF($D204 = "", "Missing Start", ""), IF($E204 = "", "Missing End", ""), IF($G204 = "", "Missing Required Attendees", ""), IF($T204 = "", "Missing Status", ""), IF(AND($D204 &lt;&gt; "", $E204 &lt;&gt; "", $D204 &gt;= $E204), "Start&gt;=End", ""), IF(OR($R204 = "", LEN($R204) &lt; 60, ISNUMBER(MATCH(TRIM($R204), StatusList, 0))), "Body overwritten/short", "")))))</f>
        <v/>
      </c>
    </row>
    <row r="205" spans="2:22" ht="12.75" customHeight="1">
      <c r="B205" s="25"/>
      <c r="C205" s="34"/>
      <c r="D205" s="38"/>
      <c r="E205" s="38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16" t="str">
        <f>IF($L205&lt;&gt;"","Purpose "&amp;CHAR(10)&amp;$L205&amp;CHAR(10)&amp;CHAR(10),"")&amp;
IF($M205&lt;&gt;"","Stops (in order) "&amp;CHAR(10)&amp;$M205&amp;CHAR(10)&amp;CHAR(10),"")&amp;
IF($N205&lt;&gt;"","To-Do (hard requirements) "&amp;CHAR(10)&amp;$N205&amp;CHAR(10)&amp;CHAR(10),"")&amp;
IF($O205&lt;&gt;"","Suggested Timeline "&amp;CHAR(10)&amp;$O205&amp;CHAR(10)&amp;CHAR(10),"")&amp;
IF($P205&lt;&gt;"","Guardrails "&amp;CHAR(10)&amp;$P205&amp;CHAR(10)&amp;CHAR(10),"")&amp;
IF($Q205&lt;&gt;"","Completion signals "&amp;CHAR(10)&amp;$Q205,"")</f>
        <v/>
      </c>
      <c r="S205" s="25"/>
      <c r="T205" s="25"/>
      <c r="U205" s="8"/>
      <c r="V205" s="8" t="str">
        <f>_xlfn.SINGLE(IF($B205 = "", "", IF(_xlfn.SINGLE(_xlfn.TEXTJOIN(" | ", TRUE, IF($B205 = "", "Missing Title", ""), IF($C205 = "", "Missing Date", ""), IF($D205 = "", "Missing Start", ""), IF($E205 = "", "Missing End", ""), IF($G205 = "", "Missing Required Attendees", ""), IF($T205 = "", "Missing Status", ""), IF(AND($D205 &lt;&gt; "", $E205 &lt;&gt; "", $D205 &gt;= $E205), "Start&gt;=End", ""), IF(OR($R205 = "", LEN($R205) &lt; 60, ISNUMBER(MATCH(TRIM($R205), StatusList, 0))), "Body overwritten/short", ""))) = "", "OK", _xlfn.TEXTJOIN(" | ", TRUE, IF($B205 = "", "Missing Title", ""), IF($C205 = "", "Missing Date", ""), IF($D205 = "", "Missing Start", ""), IF($E205 = "", "Missing End", ""), IF($G205 = "", "Missing Required Attendees", ""), IF($T205 = "", "Missing Status", ""), IF(AND($D205 &lt;&gt; "", $E205 &lt;&gt; "", $D205 &gt;= $E205), "Start&gt;=End", ""), IF(OR($R205 = "", LEN($R205) &lt; 60, ISNUMBER(MATCH(TRIM($R205), StatusList, 0))), "Body overwritten/short", "")))))</f>
        <v/>
      </c>
    </row>
    <row r="206" spans="2:22" ht="12.75" customHeight="1">
      <c r="B206" s="25"/>
      <c r="C206" s="34"/>
      <c r="D206" s="38"/>
      <c r="E206" s="38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16" t="str">
        <f>IF($L206&lt;&gt;"","Purpose "&amp;CHAR(10)&amp;$L206&amp;CHAR(10)&amp;CHAR(10),"")&amp;
IF($M206&lt;&gt;"","Stops (in order) "&amp;CHAR(10)&amp;$M206&amp;CHAR(10)&amp;CHAR(10),"")&amp;
IF($N206&lt;&gt;"","To-Do (hard requirements) "&amp;CHAR(10)&amp;$N206&amp;CHAR(10)&amp;CHAR(10),"")&amp;
IF($O206&lt;&gt;"","Suggested Timeline "&amp;CHAR(10)&amp;$O206&amp;CHAR(10)&amp;CHAR(10),"")&amp;
IF($P206&lt;&gt;"","Guardrails "&amp;CHAR(10)&amp;$P206&amp;CHAR(10)&amp;CHAR(10),"")&amp;
IF($Q206&lt;&gt;"","Completion signals "&amp;CHAR(10)&amp;$Q206,"")</f>
        <v/>
      </c>
      <c r="S206" s="25"/>
      <c r="T206" s="25"/>
      <c r="U206" s="8"/>
      <c r="V206" s="8" t="str">
        <f>_xlfn.SINGLE(IF($B206 = "", "", IF(_xlfn.SINGLE(_xlfn.TEXTJOIN(" | ", TRUE, IF($B206 = "", "Missing Title", ""), IF($C206 = "", "Missing Date", ""), IF($D206 = "", "Missing Start", ""), IF($E206 = "", "Missing End", ""), IF($G206 = "", "Missing Required Attendees", ""), IF($T206 = "", "Missing Status", ""), IF(AND($D206 &lt;&gt; "", $E206 &lt;&gt; "", $D206 &gt;= $E206), "Start&gt;=End", ""), IF(OR($R206 = "", LEN($R206) &lt; 60, ISNUMBER(MATCH(TRIM($R206), StatusList, 0))), "Body overwritten/short", ""))) = "", "OK", _xlfn.TEXTJOIN(" | ", TRUE, IF($B206 = "", "Missing Title", ""), IF($C206 = "", "Missing Date", ""), IF($D206 = "", "Missing Start", ""), IF($E206 = "", "Missing End", ""), IF($G206 = "", "Missing Required Attendees", ""), IF($T206 = "", "Missing Status", ""), IF(AND($D206 &lt;&gt; "", $E206 &lt;&gt; "", $D206 &gt;= $E206), "Start&gt;=End", ""), IF(OR($R206 = "", LEN($R206) &lt; 60, ISNUMBER(MATCH(TRIM($R206), StatusList, 0))), "Body overwritten/short", "")))))</f>
        <v/>
      </c>
    </row>
    <row r="207" spans="2:22" ht="12.75" customHeight="1">
      <c r="B207" s="25"/>
      <c r="C207" s="34"/>
      <c r="D207" s="38"/>
      <c r="E207" s="38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16" t="str">
        <f>IF($L207&lt;&gt;"","Purpose "&amp;CHAR(10)&amp;$L207&amp;CHAR(10)&amp;CHAR(10),"")&amp;
IF($M207&lt;&gt;"","Stops (in order) "&amp;CHAR(10)&amp;$M207&amp;CHAR(10)&amp;CHAR(10),"")&amp;
IF($N207&lt;&gt;"","To-Do (hard requirements) "&amp;CHAR(10)&amp;$N207&amp;CHAR(10)&amp;CHAR(10),"")&amp;
IF($O207&lt;&gt;"","Suggested Timeline "&amp;CHAR(10)&amp;$O207&amp;CHAR(10)&amp;CHAR(10),"")&amp;
IF($P207&lt;&gt;"","Guardrails "&amp;CHAR(10)&amp;$P207&amp;CHAR(10)&amp;CHAR(10),"")&amp;
IF($Q207&lt;&gt;"","Completion signals "&amp;CHAR(10)&amp;$Q207,"")</f>
        <v/>
      </c>
      <c r="S207" s="25"/>
      <c r="T207" s="25"/>
      <c r="U207" s="8"/>
      <c r="V207" s="8" t="str">
        <f>_xlfn.SINGLE(IF($B207 = "", "", IF(_xlfn.SINGLE(_xlfn.TEXTJOIN(" | ", TRUE, IF($B207 = "", "Missing Title", ""), IF($C207 = "", "Missing Date", ""), IF($D207 = "", "Missing Start", ""), IF($E207 = "", "Missing End", ""), IF($G207 = "", "Missing Required Attendees", ""), IF($T207 = "", "Missing Status", ""), IF(AND($D207 &lt;&gt; "", $E207 &lt;&gt; "", $D207 &gt;= $E207), "Start&gt;=End", ""), IF(OR($R207 = "", LEN($R207) &lt; 60, ISNUMBER(MATCH(TRIM($R207), StatusList, 0))), "Body overwritten/short", ""))) = "", "OK", _xlfn.TEXTJOIN(" | ", TRUE, IF($B207 = "", "Missing Title", ""), IF($C207 = "", "Missing Date", ""), IF($D207 = "", "Missing Start", ""), IF($E207 = "", "Missing End", ""), IF($G207 = "", "Missing Required Attendees", ""), IF($T207 = "", "Missing Status", ""), IF(AND($D207 &lt;&gt; "", $E207 &lt;&gt; "", $D207 &gt;= $E207), "Start&gt;=End", ""), IF(OR($R207 = "", LEN($R207) &lt; 60, ISNUMBER(MATCH(TRIM($R207), StatusList, 0))), "Body overwritten/short", "")))))</f>
        <v/>
      </c>
    </row>
    <row r="208" spans="2:22" ht="12.75" customHeight="1">
      <c r="B208" s="25"/>
      <c r="C208" s="34"/>
      <c r="D208" s="38"/>
      <c r="E208" s="38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16" t="str">
        <f>IF($L208&lt;&gt;"","Purpose "&amp;CHAR(10)&amp;$L208&amp;CHAR(10)&amp;CHAR(10),"")&amp;
IF($M208&lt;&gt;"","Stops (in order) "&amp;CHAR(10)&amp;$M208&amp;CHAR(10)&amp;CHAR(10),"")&amp;
IF($N208&lt;&gt;"","To-Do (hard requirements) "&amp;CHAR(10)&amp;$N208&amp;CHAR(10)&amp;CHAR(10),"")&amp;
IF($O208&lt;&gt;"","Suggested Timeline "&amp;CHAR(10)&amp;$O208&amp;CHAR(10)&amp;CHAR(10),"")&amp;
IF($P208&lt;&gt;"","Guardrails "&amp;CHAR(10)&amp;$P208&amp;CHAR(10)&amp;CHAR(10),"")&amp;
IF($Q208&lt;&gt;"","Completion signals "&amp;CHAR(10)&amp;$Q208,"")</f>
        <v/>
      </c>
      <c r="S208" s="25"/>
      <c r="T208" s="25"/>
      <c r="U208" s="8"/>
      <c r="V208" s="8" t="str">
        <f>_xlfn.SINGLE(IF($B208 = "", "", IF(_xlfn.SINGLE(_xlfn.TEXTJOIN(" | ", TRUE, IF($B208 = "", "Missing Title", ""), IF($C208 = "", "Missing Date", ""), IF($D208 = "", "Missing Start", ""), IF($E208 = "", "Missing End", ""), IF($G208 = "", "Missing Required Attendees", ""), IF($T208 = "", "Missing Status", ""), IF(AND($D208 &lt;&gt; "", $E208 &lt;&gt; "", $D208 &gt;= $E208), "Start&gt;=End", ""), IF(OR($R208 = "", LEN($R208) &lt; 60, ISNUMBER(MATCH(TRIM($R208), StatusList, 0))), "Body overwritten/short", ""))) = "", "OK", _xlfn.TEXTJOIN(" | ", TRUE, IF($B208 = "", "Missing Title", ""), IF($C208 = "", "Missing Date", ""), IF($D208 = "", "Missing Start", ""), IF($E208 = "", "Missing End", ""), IF($G208 = "", "Missing Required Attendees", ""), IF($T208 = "", "Missing Status", ""), IF(AND($D208 &lt;&gt; "", $E208 &lt;&gt; "", $D208 &gt;= $E208), "Start&gt;=End", ""), IF(OR($R208 = "", LEN($R208) &lt; 60, ISNUMBER(MATCH(TRIM($R208), StatusList, 0))), "Body overwritten/short", "")))))</f>
        <v/>
      </c>
    </row>
    <row r="209" spans="2:22" ht="12.75" customHeight="1">
      <c r="B209" s="25"/>
      <c r="C209" s="34"/>
      <c r="D209" s="38"/>
      <c r="E209" s="38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16" t="str">
        <f>IF($L209&lt;&gt;"","Purpose "&amp;CHAR(10)&amp;$L209&amp;CHAR(10)&amp;CHAR(10),"")&amp;
IF($M209&lt;&gt;"","Stops (in order) "&amp;CHAR(10)&amp;$M209&amp;CHAR(10)&amp;CHAR(10),"")&amp;
IF($N209&lt;&gt;"","To-Do (hard requirements) "&amp;CHAR(10)&amp;$N209&amp;CHAR(10)&amp;CHAR(10),"")&amp;
IF($O209&lt;&gt;"","Suggested Timeline "&amp;CHAR(10)&amp;$O209&amp;CHAR(10)&amp;CHAR(10),"")&amp;
IF($P209&lt;&gt;"","Guardrails "&amp;CHAR(10)&amp;$P209&amp;CHAR(10)&amp;CHAR(10),"")&amp;
IF($Q209&lt;&gt;"","Completion signals "&amp;CHAR(10)&amp;$Q209,"")</f>
        <v/>
      </c>
      <c r="S209" s="25"/>
      <c r="T209" s="25"/>
      <c r="U209" s="8"/>
      <c r="V209" s="8" t="str">
        <f>_xlfn.SINGLE(IF($B209 = "", "", IF(_xlfn.SINGLE(_xlfn.TEXTJOIN(" | ", TRUE, IF($B209 = "", "Missing Title", ""), IF($C209 = "", "Missing Date", ""), IF($D209 = "", "Missing Start", ""), IF($E209 = "", "Missing End", ""), IF($G209 = "", "Missing Required Attendees", ""), IF($T209 = "", "Missing Status", ""), IF(AND($D209 &lt;&gt; "", $E209 &lt;&gt; "", $D209 &gt;= $E209), "Start&gt;=End", ""), IF(OR($R209 = "", LEN($R209) &lt; 60, ISNUMBER(MATCH(TRIM($R209), StatusList, 0))), "Body overwritten/short", ""))) = "", "OK", _xlfn.TEXTJOIN(" | ", TRUE, IF($B209 = "", "Missing Title", ""), IF($C209 = "", "Missing Date", ""), IF($D209 = "", "Missing Start", ""), IF($E209 = "", "Missing End", ""), IF($G209 = "", "Missing Required Attendees", ""), IF($T209 = "", "Missing Status", ""), IF(AND($D209 &lt;&gt; "", $E209 &lt;&gt; "", $D209 &gt;= $E209), "Start&gt;=End", ""), IF(OR($R209 = "", LEN($R209) &lt; 60, ISNUMBER(MATCH(TRIM($R209), StatusList, 0))), "Body overwritten/short", "")))))</f>
        <v/>
      </c>
    </row>
    <row r="210" spans="2:22" ht="12.75" customHeight="1">
      <c r="B210" s="25"/>
      <c r="C210" s="34"/>
      <c r="D210" s="38"/>
      <c r="E210" s="38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16" t="str">
        <f>IF($L210&lt;&gt;"","Purpose "&amp;CHAR(10)&amp;$L210&amp;CHAR(10)&amp;CHAR(10),"")&amp;
IF($M210&lt;&gt;"","Stops (in order) "&amp;CHAR(10)&amp;$M210&amp;CHAR(10)&amp;CHAR(10),"")&amp;
IF($N210&lt;&gt;"","To-Do (hard requirements) "&amp;CHAR(10)&amp;$N210&amp;CHAR(10)&amp;CHAR(10),"")&amp;
IF($O210&lt;&gt;"","Suggested Timeline "&amp;CHAR(10)&amp;$O210&amp;CHAR(10)&amp;CHAR(10),"")&amp;
IF($P210&lt;&gt;"","Guardrails "&amp;CHAR(10)&amp;$P210&amp;CHAR(10)&amp;CHAR(10),"")&amp;
IF($Q210&lt;&gt;"","Completion signals "&amp;CHAR(10)&amp;$Q210,"")</f>
        <v/>
      </c>
      <c r="S210" s="25"/>
      <c r="T210" s="25"/>
      <c r="U210" s="8"/>
      <c r="V210" s="8" t="str">
        <f>_xlfn.SINGLE(IF($B210 = "", "", IF(_xlfn.SINGLE(_xlfn.TEXTJOIN(" | ", TRUE, IF($B210 = "", "Missing Title", ""), IF($C210 = "", "Missing Date", ""), IF($D210 = "", "Missing Start", ""), IF($E210 = "", "Missing End", ""), IF($G210 = "", "Missing Required Attendees", ""), IF($T210 = "", "Missing Status", ""), IF(AND($D210 &lt;&gt; "", $E210 &lt;&gt; "", $D210 &gt;= $E210), "Start&gt;=End", ""), IF(OR($R210 = "", LEN($R210) &lt; 60, ISNUMBER(MATCH(TRIM($R210), StatusList, 0))), "Body overwritten/short", ""))) = "", "OK", _xlfn.TEXTJOIN(" | ", TRUE, IF($B210 = "", "Missing Title", ""), IF($C210 = "", "Missing Date", ""), IF($D210 = "", "Missing Start", ""), IF($E210 = "", "Missing End", ""), IF($G210 = "", "Missing Required Attendees", ""), IF($T210 = "", "Missing Status", ""), IF(AND($D210 &lt;&gt; "", $E210 &lt;&gt; "", $D210 &gt;= $E210), "Start&gt;=End", ""), IF(OR($R210 = "", LEN($R210) &lt; 60, ISNUMBER(MATCH(TRIM($R210), StatusList, 0))), "Body overwritten/short", "")))))</f>
        <v/>
      </c>
    </row>
    <row r="211" spans="2:22" ht="12.75" customHeight="1">
      <c r="B211" s="25"/>
      <c r="C211" s="34"/>
      <c r="D211" s="38"/>
      <c r="E211" s="38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16" t="str">
        <f>IF($L211&lt;&gt;"","Purpose "&amp;CHAR(10)&amp;$L211&amp;CHAR(10)&amp;CHAR(10),"")&amp;
IF($M211&lt;&gt;"","Stops (in order) "&amp;CHAR(10)&amp;$M211&amp;CHAR(10)&amp;CHAR(10),"")&amp;
IF($N211&lt;&gt;"","To-Do (hard requirements) "&amp;CHAR(10)&amp;$N211&amp;CHAR(10)&amp;CHAR(10),"")&amp;
IF($O211&lt;&gt;"","Suggested Timeline "&amp;CHAR(10)&amp;$O211&amp;CHAR(10)&amp;CHAR(10),"")&amp;
IF($P211&lt;&gt;"","Guardrails "&amp;CHAR(10)&amp;$P211&amp;CHAR(10)&amp;CHAR(10),"")&amp;
IF($Q211&lt;&gt;"","Completion signals "&amp;CHAR(10)&amp;$Q211,"")</f>
        <v/>
      </c>
      <c r="S211" s="25"/>
      <c r="T211" s="25"/>
      <c r="U211" s="8"/>
      <c r="V211" s="8" t="str">
        <f>_xlfn.SINGLE(IF($B211 = "", "", IF(_xlfn.SINGLE(_xlfn.TEXTJOIN(" | ", TRUE, IF($B211 = "", "Missing Title", ""), IF($C211 = "", "Missing Date", ""), IF($D211 = "", "Missing Start", ""), IF($E211 = "", "Missing End", ""), IF($G211 = "", "Missing Required Attendees", ""), IF($T211 = "", "Missing Status", ""), IF(AND($D211 &lt;&gt; "", $E211 &lt;&gt; "", $D211 &gt;= $E211), "Start&gt;=End", ""), IF(OR($R211 = "", LEN($R211) &lt; 60, ISNUMBER(MATCH(TRIM($R211), StatusList, 0))), "Body overwritten/short", ""))) = "", "OK", _xlfn.TEXTJOIN(" | ", TRUE, IF($B211 = "", "Missing Title", ""), IF($C211 = "", "Missing Date", ""), IF($D211 = "", "Missing Start", ""), IF($E211 = "", "Missing End", ""), IF($G211 = "", "Missing Required Attendees", ""), IF($T211 = "", "Missing Status", ""), IF(AND($D211 &lt;&gt; "", $E211 &lt;&gt; "", $D211 &gt;= $E211), "Start&gt;=End", ""), IF(OR($R211 = "", LEN($R211) &lt; 60, ISNUMBER(MATCH(TRIM($R211), StatusList, 0))), "Body overwritten/short", "")))))</f>
        <v/>
      </c>
    </row>
    <row r="212" spans="2:22" ht="12.75" customHeight="1">
      <c r="B212" s="25"/>
      <c r="C212" s="34"/>
      <c r="D212" s="38"/>
      <c r="E212" s="38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16" t="str">
        <f>IF($L212&lt;&gt;"","Purpose "&amp;CHAR(10)&amp;$L212&amp;CHAR(10)&amp;CHAR(10),"")&amp;
IF($M212&lt;&gt;"","Stops (in order) "&amp;CHAR(10)&amp;$M212&amp;CHAR(10)&amp;CHAR(10),"")&amp;
IF($N212&lt;&gt;"","To-Do (hard requirements) "&amp;CHAR(10)&amp;$N212&amp;CHAR(10)&amp;CHAR(10),"")&amp;
IF($O212&lt;&gt;"","Suggested Timeline "&amp;CHAR(10)&amp;$O212&amp;CHAR(10)&amp;CHAR(10),"")&amp;
IF($P212&lt;&gt;"","Guardrails "&amp;CHAR(10)&amp;$P212&amp;CHAR(10)&amp;CHAR(10),"")&amp;
IF($Q212&lt;&gt;"","Completion signals "&amp;CHAR(10)&amp;$Q212,"")</f>
        <v/>
      </c>
      <c r="S212" s="25"/>
      <c r="T212" s="25"/>
      <c r="U212" s="8"/>
      <c r="V212" s="8" t="str">
        <f>_xlfn.SINGLE(IF($B212 = "", "", IF(_xlfn.SINGLE(_xlfn.TEXTJOIN(" | ", TRUE, IF($B212 = "", "Missing Title", ""), IF($C212 = "", "Missing Date", ""), IF($D212 = "", "Missing Start", ""), IF($E212 = "", "Missing End", ""), IF($G212 = "", "Missing Required Attendees", ""), IF($T212 = "", "Missing Status", ""), IF(AND($D212 &lt;&gt; "", $E212 &lt;&gt; "", $D212 &gt;= $E212), "Start&gt;=End", ""), IF(OR($R212 = "", LEN($R212) &lt; 60, ISNUMBER(MATCH(TRIM($R212), StatusList, 0))), "Body overwritten/short", ""))) = "", "OK", _xlfn.TEXTJOIN(" | ", TRUE, IF($B212 = "", "Missing Title", ""), IF($C212 = "", "Missing Date", ""), IF($D212 = "", "Missing Start", ""), IF($E212 = "", "Missing End", ""), IF($G212 = "", "Missing Required Attendees", ""), IF($T212 = "", "Missing Status", ""), IF(AND($D212 &lt;&gt; "", $E212 &lt;&gt; "", $D212 &gt;= $E212), "Start&gt;=End", ""), IF(OR($R212 = "", LEN($R212) &lt; 60, ISNUMBER(MATCH(TRIM($R212), StatusList, 0))), "Body overwritten/short", "")))))</f>
        <v/>
      </c>
    </row>
    <row r="213" spans="2:22" ht="12.75" customHeight="1">
      <c r="B213" s="25"/>
      <c r="C213" s="34"/>
      <c r="D213" s="38"/>
      <c r="E213" s="38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16" t="str">
        <f>IF($L213&lt;&gt;"","Purpose "&amp;CHAR(10)&amp;$L213&amp;CHAR(10)&amp;CHAR(10),"")&amp;
IF($M213&lt;&gt;"","Stops (in order) "&amp;CHAR(10)&amp;$M213&amp;CHAR(10)&amp;CHAR(10),"")&amp;
IF($N213&lt;&gt;"","To-Do (hard requirements) "&amp;CHAR(10)&amp;$N213&amp;CHAR(10)&amp;CHAR(10),"")&amp;
IF($O213&lt;&gt;"","Suggested Timeline "&amp;CHAR(10)&amp;$O213&amp;CHAR(10)&amp;CHAR(10),"")&amp;
IF($P213&lt;&gt;"","Guardrails "&amp;CHAR(10)&amp;$P213&amp;CHAR(10)&amp;CHAR(10),"")&amp;
IF($Q213&lt;&gt;"","Completion signals "&amp;CHAR(10)&amp;$Q213,"")</f>
        <v/>
      </c>
      <c r="S213" s="25"/>
      <c r="T213" s="25"/>
      <c r="U213" s="8"/>
      <c r="V213" s="8" t="str">
        <f>_xlfn.SINGLE(IF($B213 = "", "", IF(_xlfn.SINGLE(_xlfn.TEXTJOIN(" | ", TRUE, IF($B213 = "", "Missing Title", ""), IF($C213 = "", "Missing Date", ""), IF($D213 = "", "Missing Start", ""), IF($E213 = "", "Missing End", ""), IF($G213 = "", "Missing Required Attendees", ""), IF($T213 = "", "Missing Status", ""), IF(AND($D213 &lt;&gt; "", $E213 &lt;&gt; "", $D213 &gt;= $E213), "Start&gt;=End", ""), IF(OR($R213 = "", LEN($R213) &lt; 60, ISNUMBER(MATCH(TRIM($R213), StatusList, 0))), "Body overwritten/short", ""))) = "", "OK", _xlfn.TEXTJOIN(" | ", TRUE, IF($B213 = "", "Missing Title", ""), IF($C213 = "", "Missing Date", ""), IF($D213 = "", "Missing Start", ""), IF($E213 = "", "Missing End", ""), IF($G213 = "", "Missing Required Attendees", ""), IF($T213 = "", "Missing Status", ""), IF(AND($D213 &lt;&gt; "", $E213 &lt;&gt; "", $D213 &gt;= $E213), "Start&gt;=End", ""), IF(OR($R213 = "", LEN($R213) &lt; 60, ISNUMBER(MATCH(TRIM($R213), StatusList, 0))), "Body overwritten/short", "")))))</f>
        <v/>
      </c>
    </row>
    <row r="214" spans="2:22" ht="12.75" customHeight="1">
      <c r="B214" s="25"/>
      <c r="C214" s="34"/>
      <c r="D214" s="38"/>
      <c r="E214" s="38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16" t="str">
        <f>IF($L214&lt;&gt;"","Purpose "&amp;CHAR(10)&amp;$L214&amp;CHAR(10)&amp;CHAR(10),"")&amp;
IF($M214&lt;&gt;"","Stops (in order) "&amp;CHAR(10)&amp;$M214&amp;CHAR(10)&amp;CHAR(10),"")&amp;
IF($N214&lt;&gt;"","To-Do (hard requirements) "&amp;CHAR(10)&amp;$N214&amp;CHAR(10)&amp;CHAR(10),"")&amp;
IF($O214&lt;&gt;"","Suggested Timeline "&amp;CHAR(10)&amp;$O214&amp;CHAR(10)&amp;CHAR(10),"")&amp;
IF($P214&lt;&gt;"","Guardrails "&amp;CHAR(10)&amp;$P214&amp;CHAR(10)&amp;CHAR(10),"")&amp;
IF($Q214&lt;&gt;"","Completion signals "&amp;CHAR(10)&amp;$Q214,"")</f>
        <v/>
      </c>
      <c r="S214" s="25"/>
      <c r="T214" s="25"/>
      <c r="U214" s="8"/>
      <c r="V214" s="8" t="str">
        <f>_xlfn.SINGLE(IF($B214 = "", "", IF(_xlfn.SINGLE(_xlfn.TEXTJOIN(" | ", TRUE, IF($B214 = "", "Missing Title", ""), IF($C214 = "", "Missing Date", ""), IF($D214 = "", "Missing Start", ""), IF($E214 = "", "Missing End", ""), IF($G214 = "", "Missing Required Attendees", ""), IF($T214 = "", "Missing Status", ""), IF(AND($D214 &lt;&gt; "", $E214 &lt;&gt; "", $D214 &gt;= $E214), "Start&gt;=End", ""), IF(OR($R214 = "", LEN($R214) &lt; 60, ISNUMBER(MATCH(TRIM($R214), StatusList, 0))), "Body overwritten/short", ""))) = "", "OK", _xlfn.TEXTJOIN(" | ", TRUE, IF($B214 = "", "Missing Title", ""), IF($C214 = "", "Missing Date", ""), IF($D214 = "", "Missing Start", ""), IF($E214 = "", "Missing End", ""), IF($G214 = "", "Missing Required Attendees", ""), IF($T214 = "", "Missing Status", ""), IF(AND($D214 &lt;&gt; "", $E214 &lt;&gt; "", $D214 &gt;= $E214), "Start&gt;=End", ""), IF(OR($R214 = "", LEN($R214) &lt; 60, ISNUMBER(MATCH(TRIM($R214), StatusList, 0))), "Body overwritten/short", "")))))</f>
        <v/>
      </c>
    </row>
    <row r="215" spans="2:22" ht="12.75" customHeight="1">
      <c r="B215" s="25"/>
      <c r="C215" s="34"/>
      <c r="D215" s="38"/>
      <c r="E215" s="38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16" t="str">
        <f>IF($L215&lt;&gt;"","Purpose "&amp;CHAR(10)&amp;$L215&amp;CHAR(10)&amp;CHAR(10),"")&amp;
IF($M215&lt;&gt;"","Stops (in order) "&amp;CHAR(10)&amp;$M215&amp;CHAR(10)&amp;CHAR(10),"")&amp;
IF($N215&lt;&gt;"","To-Do (hard requirements) "&amp;CHAR(10)&amp;$N215&amp;CHAR(10)&amp;CHAR(10),"")&amp;
IF($O215&lt;&gt;"","Suggested Timeline "&amp;CHAR(10)&amp;$O215&amp;CHAR(10)&amp;CHAR(10),"")&amp;
IF($P215&lt;&gt;"","Guardrails "&amp;CHAR(10)&amp;$P215&amp;CHAR(10)&amp;CHAR(10),"")&amp;
IF($Q215&lt;&gt;"","Completion signals "&amp;CHAR(10)&amp;$Q215,"")</f>
        <v/>
      </c>
      <c r="S215" s="25"/>
      <c r="T215" s="25"/>
      <c r="U215" s="8"/>
      <c r="V215" s="8" t="str">
        <f>_xlfn.SINGLE(IF($B215 = "", "", IF(_xlfn.SINGLE(_xlfn.TEXTJOIN(" | ", TRUE, IF($B215 = "", "Missing Title", ""), IF($C215 = "", "Missing Date", ""), IF($D215 = "", "Missing Start", ""), IF($E215 = "", "Missing End", ""), IF($G215 = "", "Missing Required Attendees", ""), IF($T215 = "", "Missing Status", ""), IF(AND($D215 &lt;&gt; "", $E215 &lt;&gt; "", $D215 &gt;= $E215), "Start&gt;=End", ""), IF(OR($R215 = "", LEN($R215) &lt; 60, ISNUMBER(MATCH(TRIM($R215), StatusList, 0))), "Body overwritten/short", ""))) = "", "OK", _xlfn.TEXTJOIN(" | ", TRUE, IF($B215 = "", "Missing Title", ""), IF($C215 = "", "Missing Date", ""), IF($D215 = "", "Missing Start", ""), IF($E215 = "", "Missing End", ""), IF($G215 = "", "Missing Required Attendees", ""), IF($T215 = "", "Missing Status", ""), IF(AND($D215 &lt;&gt; "", $E215 &lt;&gt; "", $D215 &gt;= $E215), "Start&gt;=End", ""), IF(OR($R215 = "", LEN($R215) &lt; 60, ISNUMBER(MATCH(TRIM($R215), StatusList, 0))), "Body overwritten/short", "")))))</f>
        <v/>
      </c>
    </row>
    <row r="216" spans="2:22" ht="12.75" customHeight="1">
      <c r="B216" s="25"/>
      <c r="C216" s="34"/>
      <c r="D216" s="38"/>
      <c r="E216" s="38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16" t="str">
        <f>IF($L216&lt;&gt;"","Purpose "&amp;CHAR(10)&amp;$L216&amp;CHAR(10)&amp;CHAR(10),"")&amp;
IF($M216&lt;&gt;"","Stops (in order) "&amp;CHAR(10)&amp;$M216&amp;CHAR(10)&amp;CHAR(10),"")&amp;
IF($N216&lt;&gt;"","To-Do (hard requirements) "&amp;CHAR(10)&amp;$N216&amp;CHAR(10)&amp;CHAR(10),"")&amp;
IF($O216&lt;&gt;"","Suggested Timeline "&amp;CHAR(10)&amp;$O216&amp;CHAR(10)&amp;CHAR(10),"")&amp;
IF($P216&lt;&gt;"","Guardrails "&amp;CHAR(10)&amp;$P216&amp;CHAR(10)&amp;CHAR(10),"")&amp;
IF($Q216&lt;&gt;"","Completion signals "&amp;CHAR(10)&amp;$Q216,"")</f>
        <v/>
      </c>
      <c r="S216" s="25"/>
      <c r="T216" s="25"/>
      <c r="U216" s="8"/>
      <c r="V216" s="8" t="str">
        <f>_xlfn.SINGLE(IF($B216 = "", "", IF(_xlfn.SINGLE(_xlfn.TEXTJOIN(" | ", TRUE, IF($B216 = "", "Missing Title", ""), IF($C216 = "", "Missing Date", ""), IF($D216 = "", "Missing Start", ""), IF($E216 = "", "Missing End", ""), IF($G216 = "", "Missing Required Attendees", ""), IF($T216 = "", "Missing Status", ""), IF(AND($D216 &lt;&gt; "", $E216 &lt;&gt; "", $D216 &gt;= $E216), "Start&gt;=End", ""), IF(OR($R216 = "", LEN($R216) &lt; 60, ISNUMBER(MATCH(TRIM($R216), StatusList, 0))), "Body overwritten/short", ""))) = "", "OK", _xlfn.TEXTJOIN(" | ", TRUE, IF($B216 = "", "Missing Title", ""), IF($C216 = "", "Missing Date", ""), IF($D216 = "", "Missing Start", ""), IF($E216 = "", "Missing End", ""), IF($G216 = "", "Missing Required Attendees", ""), IF($T216 = "", "Missing Status", ""), IF(AND($D216 &lt;&gt; "", $E216 &lt;&gt; "", $D216 &gt;= $E216), "Start&gt;=End", ""), IF(OR($R216 = "", LEN($R216) &lt; 60, ISNUMBER(MATCH(TRIM($R216), StatusList, 0))), "Body overwritten/short", "")))))</f>
        <v/>
      </c>
    </row>
    <row r="217" spans="2:22" ht="12.75" customHeight="1">
      <c r="B217" s="25"/>
      <c r="C217" s="34"/>
      <c r="D217" s="38"/>
      <c r="E217" s="38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16" t="str">
        <f>IF($L217&lt;&gt;"","Purpose "&amp;CHAR(10)&amp;$L217&amp;CHAR(10)&amp;CHAR(10),"")&amp;
IF($M217&lt;&gt;"","Stops (in order) "&amp;CHAR(10)&amp;$M217&amp;CHAR(10)&amp;CHAR(10),"")&amp;
IF($N217&lt;&gt;"","To-Do (hard requirements) "&amp;CHAR(10)&amp;$N217&amp;CHAR(10)&amp;CHAR(10),"")&amp;
IF($O217&lt;&gt;"","Suggested Timeline "&amp;CHAR(10)&amp;$O217&amp;CHAR(10)&amp;CHAR(10),"")&amp;
IF($P217&lt;&gt;"","Guardrails "&amp;CHAR(10)&amp;$P217&amp;CHAR(10)&amp;CHAR(10),"")&amp;
IF($Q217&lt;&gt;"","Completion signals "&amp;CHAR(10)&amp;$Q217,"")</f>
        <v/>
      </c>
      <c r="S217" s="25"/>
      <c r="T217" s="25"/>
      <c r="U217" s="8"/>
      <c r="V217" s="8" t="str">
        <f>_xlfn.SINGLE(IF($B217 = "", "", IF(_xlfn.SINGLE(_xlfn.TEXTJOIN(" | ", TRUE, IF($B217 = "", "Missing Title", ""), IF($C217 = "", "Missing Date", ""), IF($D217 = "", "Missing Start", ""), IF($E217 = "", "Missing End", ""), IF($G217 = "", "Missing Required Attendees", ""), IF($T217 = "", "Missing Status", ""), IF(AND($D217 &lt;&gt; "", $E217 &lt;&gt; "", $D217 &gt;= $E217), "Start&gt;=End", ""), IF(OR($R217 = "", LEN($R217) &lt; 60, ISNUMBER(MATCH(TRIM($R217), StatusList, 0))), "Body overwritten/short", ""))) = "", "OK", _xlfn.TEXTJOIN(" | ", TRUE, IF($B217 = "", "Missing Title", ""), IF($C217 = "", "Missing Date", ""), IF($D217 = "", "Missing Start", ""), IF($E217 = "", "Missing End", ""), IF($G217 = "", "Missing Required Attendees", ""), IF($T217 = "", "Missing Status", ""), IF(AND($D217 &lt;&gt; "", $E217 &lt;&gt; "", $D217 &gt;= $E217), "Start&gt;=End", ""), IF(OR($R217 = "", LEN($R217) &lt; 60, ISNUMBER(MATCH(TRIM($R217), StatusList, 0))), "Body overwritten/short", "")))))</f>
        <v/>
      </c>
    </row>
    <row r="218" spans="2:22" ht="12.75" customHeight="1">
      <c r="B218" s="25"/>
      <c r="C218" s="34"/>
      <c r="D218" s="38"/>
      <c r="E218" s="38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16" t="str">
        <f>IF($L218&lt;&gt;"","Purpose "&amp;CHAR(10)&amp;$L218&amp;CHAR(10)&amp;CHAR(10),"")&amp;
IF($M218&lt;&gt;"","Stops (in order) "&amp;CHAR(10)&amp;$M218&amp;CHAR(10)&amp;CHAR(10),"")&amp;
IF($N218&lt;&gt;"","To-Do (hard requirements) "&amp;CHAR(10)&amp;$N218&amp;CHAR(10)&amp;CHAR(10),"")&amp;
IF($O218&lt;&gt;"","Suggested Timeline "&amp;CHAR(10)&amp;$O218&amp;CHAR(10)&amp;CHAR(10),"")&amp;
IF($P218&lt;&gt;"","Guardrails "&amp;CHAR(10)&amp;$P218&amp;CHAR(10)&amp;CHAR(10),"")&amp;
IF($Q218&lt;&gt;"","Completion signals "&amp;CHAR(10)&amp;$Q218,"")</f>
        <v/>
      </c>
      <c r="S218" s="25"/>
      <c r="T218" s="25"/>
      <c r="U218" s="8"/>
      <c r="V218" s="8" t="str">
        <f>_xlfn.SINGLE(IF($B218 = "", "", IF(_xlfn.SINGLE(_xlfn.TEXTJOIN(" | ", TRUE, IF($B218 = "", "Missing Title", ""), IF($C218 = "", "Missing Date", ""), IF($D218 = "", "Missing Start", ""), IF($E218 = "", "Missing End", ""), IF($G218 = "", "Missing Required Attendees", ""), IF($T218 = "", "Missing Status", ""), IF(AND($D218 &lt;&gt; "", $E218 &lt;&gt; "", $D218 &gt;= $E218), "Start&gt;=End", ""), IF(OR($R218 = "", LEN($R218) &lt; 60, ISNUMBER(MATCH(TRIM($R218), StatusList, 0))), "Body overwritten/short", ""))) = "", "OK", _xlfn.TEXTJOIN(" | ", TRUE, IF($B218 = "", "Missing Title", ""), IF($C218 = "", "Missing Date", ""), IF($D218 = "", "Missing Start", ""), IF($E218 = "", "Missing End", ""), IF($G218 = "", "Missing Required Attendees", ""), IF($T218 = "", "Missing Status", ""), IF(AND($D218 &lt;&gt; "", $E218 &lt;&gt; "", $D218 &gt;= $E218), "Start&gt;=End", ""), IF(OR($R218 = "", LEN($R218) &lt; 60, ISNUMBER(MATCH(TRIM($R218), StatusList, 0))), "Body overwritten/short", "")))))</f>
        <v/>
      </c>
    </row>
    <row r="219" spans="2:22" ht="12.75" customHeight="1">
      <c r="B219" s="25"/>
      <c r="C219" s="34"/>
      <c r="D219" s="38"/>
      <c r="E219" s="38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16" t="str">
        <f>IF($L219&lt;&gt;"","Purpose "&amp;CHAR(10)&amp;$L219&amp;CHAR(10)&amp;CHAR(10),"")&amp;
IF($M219&lt;&gt;"","Stops (in order) "&amp;CHAR(10)&amp;$M219&amp;CHAR(10)&amp;CHAR(10),"")&amp;
IF($N219&lt;&gt;"","To-Do (hard requirements) "&amp;CHAR(10)&amp;$N219&amp;CHAR(10)&amp;CHAR(10),"")&amp;
IF($O219&lt;&gt;"","Suggested Timeline "&amp;CHAR(10)&amp;$O219&amp;CHAR(10)&amp;CHAR(10),"")&amp;
IF($P219&lt;&gt;"","Guardrails "&amp;CHAR(10)&amp;$P219&amp;CHAR(10)&amp;CHAR(10),"")&amp;
IF($Q219&lt;&gt;"","Completion signals "&amp;CHAR(10)&amp;$Q219,"")</f>
        <v/>
      </c>
      <c r="S219" s="25"/>
      <c r="T219" s="25"/>
      <c r="U219" s="8"/>
      <c r="V219" s="8" t="str">
        <f>_xlfn.SINGLE(IF($B219 = "", "", IF(_xlfn.SINGLE(_xlfn.TEXTJOIN(" | ", TRUE, IF($B219 = "", "Missing Title", ""), IF($C219 = "", "Missing Date", ""), IF($D219 = "", "Missing Start", ""), IF($E219 = "", "Missing End", ""), IF($G219 = "", "Missing Required Attendees", ""), IF($T219 = "", "Missing Status", ""), IF(AND($D219 &lt;&gt; "", $E219 &lt;&gt; "", $D219 &gt;= $E219), "Start&gt;=End", ""), IF(OR($R219 = "", LEN($R219) &lt; 60, ISNUMBER(MATCH(TRIM($R219), StatusList, 0))), "Body overwritten/short", ""))) = "", "OK", _xlfn.TEXTJOIN(" | ", TRUE, IF($B219 = "", "Missing Title", ""), IF($C219 = "", "Missing Date", ""), IF($D219 = "", "Missing Start", ""), IF($E219 = "", "Missing End", ""), IF($G219 = "", "Missing Required Attendees", ""), IF($T219 = "", "Missing Status", ""), IF(AND($D219 &lt;&gt; "", $E219 &lt;&gt; "", $D219 &gt;= $E219), "Start&gt;=End", ""), IF(OR($R219 = "", LEN($R219) &lt; 60, ISNUMBER(MATCH(TRIM($R219), StatusList, 0))), "Body overwritten/short", "")))))</f>
        <v/>
      </c>
    </row>
    <row r="220" spans="2:22" ht="12.75" customHeight="1">
      <c r="B220" s="25"/>
      <c r="C220" s="34"/>
      <c r="D220" s="38"/>
      <c r="E220" s="38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16" t="str">
        <f>IF($L220&lt;&gt;"","Purpose "&amp;CHAR(10)&amp;$L220&amp;CHAR(10)&amp;CHAR(10),"")&amp;
IF($M220&lt;&gt;"","Stops (in order) "&amp;CHAR(10)&amp;$M220&amp;CHAR(10)&amp;CHAR(10),"")&amp;
IF($N220&lt;&gt;"","To-Do (hard requirements) "&amp;CHAR(10)&amp;$N220&amp;CHAR(10)&amp;CHAR(10),"")&amp;
IF($O220&lt;&gt;"","Suggested Timeline "&amp;CHAR(10)&amp;$O220&amp;CHAR(10)&amp;CHAR(10),"")&amp;
IF($P220&lt;&gt;"","Guardrails "&amp;CHAR(10)&amp;$P220&amp;CHAR(10)&amp;CHAR(10),"")&amp;
IF($Q220&lt;&gt;"","Completion signals "&amp;CHAR(10)&amp;$Q220,"")</f>
        <v/>
      </c>
      <c r="S220" s="25"/>
      <c r="T220" s="25"/>
      <c r="U220" s="8"/>
      <c r="V220" s="8" t="str">
        <f>_xlfn.SINGLE(IF($B220 = "", "", IF(_xlfn.SINGLE(_xlfn.TEXTJOIN(" | ", TRUE, IF($B220 = "", "Missing Title", ""), IF($C220 = "", "Missing Date", ""), IF($D220 = "", "Missing Start", ""), IF($E220 = "", "Missing End", ""), IF($G220 = "", "Missing Required Attendees", ""), IF($T220 = "", "Missing Status", ""), IF(AND($D220 &lt;&gt; "", $E220 &lt;&gt; "", $D220 &gt;= $E220), "Start&gt;=End", ""), IF(OR($R220 = "", LEN($R220) &lt; 60, ISNUMBER(MATCH(TRIM($R220), StatusList, 0))), "Body overwritten/short", ""))) = "", "OK", _xlfn.TEXTJOIN(" | ", TRUE, IF($B220 = "", "Missing Title", ""), IF($C220 = "", "Missing Date", ""), IF($D220 = "", "Missing Start", ""), IF($E220 = "", "Missing End", ""), IF($G220 = "", "Missing Required Attendees", ""), IF($T220 = "", "Missing Status", ""), IF(AND($D220 &lt;&gt; "", $E220 &lt;&gt; "", $D220 &gt;= $E220), "Start&gt;=End", ""), IF(OR($R220 = "", LEN($R220) &lt; 60, ISNUMBER(MATCH(TRIM($R220), StatusList, 0))), "Body overwritten/short", "")))))</f>
        <v/>
      </c>
    </row>
    <row r="221" spans="2:22" ht="12.75" customHeight="1">
      <c r="B221" s="25"/>
      <c r="C221" s="34"/>
      <c r="D221" s="38"/>
      <c r="E221" s="38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16" t="str">
        <f>IF($L221&lt;&gt;"","Purpose "&amp;CHAR(10)&amp;$L221&amp;CHAR(10)&amp;CHAR(10),"")&amp;
IF($M221&lt;&gt;"","Stops (in order) "&amp;CHAR(10)&amp;$M221&amp;CHAR(10)&amp;CHAR(10),"")&amp;
IF($N221&lt;&gt;"","To-Do (hard requirements) "&amp;CHAR(10)&amp;$N221&amp;CHAR(10)&amp;CHAR(10),"")&amp;
IF($O221&lt;&gt;"","Suggested Timeline "&amp;CHAR(10)&amp;$O221&amp;CHAR(10)&amp;CHAR(10),"")&amp;
IF($P221&lt;&gt;"","Guardrails "&amp;CHAR(10)&amp;$P221&amp;CHAR(10)&amp;CHAR(10),"")&amp;
IF($Q221&lt;&gt;"","Completion signals "&amp;CHAR(10)&amp;$Q221,"")</f>
        <v/>
      </c>
      <c r="S221" s="25"/>
      <c r="T221" s="25"/>
      <c r="U221" s="8"/>
      <c r="V221" s="8" t="str">
        <f>_xlfn.SINGLE(IF($B221 = "", "", IF(_xlfn.SINGLE(_xlfn.TEXTJOIN(" | ", TRUE, IF($B221 = "", "Missing Title", ""), IF($C221 = "", "Missing Date", ""), IF($D221 = "", "Missing Start", ""), IF($E221 = "", "Missing End", ""), IF($G221 = "", "Missing Required Attendees", ""), IF($T221 = "", "Missing Status", ""), IF(AND($D221 &lt;&gt; "", $E221 &lt;&gt; "", $D221 &gt;= $E221), "Start&gt;=End", ""), IF(OR($R221 = "", LEN($R221) &lt; 60, ISNUMBER(MATCH(TRIM($R221), StatusList, 0))), "Body overwritten/short", ""))) = "", "OK", _xlfn.TEXTJOIN(" | ", TRUE, IF($B221 = "", "Missing Title", ""), IF($C221 = "", "Missing Date", ""), IF($D221 = "", "Missing Start", ""), IF($E221 = "", "Missing End", ""), IF($G221 = "", "Missing Required Attendees", ""), IF($T221 = "", "Missing Status", ""), IF(AND($D221 &lt;&gt; "", $E221 &lt;&gt; "", $D221 &gt;= $E221), "Start&gt;=End", ""), IF(OR($R221 = "", LEN($R221) &lt; 60, ISNUMBER(MATCH(TRIM($R221), StatusList, 0))), "Body overwritten/short", "")))))</f>
        <v/>
      </c>
    </row>
    <row r="222" spans="2:22" ht="12.75" customHeight="1">
      <c r="B222" s="25"/>
      <c r="C222" s="34"/>
      <c r="D222" s="38"/>
      <c r="E222" s="38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16" t="str">
        <f>IF($L222&lt;&gt;"","Purpose "&amp;CHAR(10)&amp;$L222&amp;CHAR(10)&amp;CHAR(10),"")&amp;
IF($M222&lt;&gt;"","Stops (in order) "&amp;CHAR(10)&amp;$M222&amp;CHAR(10)&amp;CHAR(10),"")&amp;
IF($N222&lt;&gt;"","To-Do (hard requirements) "&amp;CHAR(10)&amp;$N222&amp;CHAR(10)&amp;CHAR(10),"")&amp;
IF($O222&lt;&gt;"","Suggested Timeline "&amp;CHAR(10)&amp;$O222&amp;CHAR(10)&amp;CHAR(10),"")&amp;
IF($P222&lt;&gt;"","Guardrails "&amp;CHAR(10)&amp;$P222&amp;CHAR(10)&amp;CHAR(10),"")&amp;
IF($Q222&lt;&gt;"","Completion signals "&amp;CHAR(10)&amp;$Q222,"")</f>
        <v/>
      </c>
      <c r="S222" s="25"/>
      <c r="T222" s="25"/>
      <c r="U222" s="8"/>
      <c r="V222" s="8" t="str">
        <f>_xlfn.SINGLE(IF($B222 = "", "", IF(_xlfn.SINGLE(_xlfn.TEXTJOIN(" | ", TRUE, IF($B222 = "", "Missing Title", ""), IF($C222 = "", "Missing Date", ""), IF($D222 = "", "Missing Start", ""), IF($E222 = "", "Missing End", ""), IF($G222 = "", "Missing Required Attendees", ""), IF($T222 = "", "Missing Status", ""), IF(AND($D222 &lt;&gt; "", $E222 &lt;&gt; "", $D222 &gt;= $E222), "Start&gt;=End", ""), IF(OR($R222 = "", LEN($R222) &lt; 60, ISNUMBER(MATCH(TRIM($R222), StatusList, 0))), "Body overwritten/short", ""))) = "", "OK", _xlfn.TEXTJOIN(" | ", TRUE, IF($B222 = "", "Missing Title", ""), IF($C222 = "", "Missing Date", ""), IF($D222 = "", "Missing Start", ""), IF($E222 = "", "Missing End", ""), IF($G222 = "", "Missing Required Attendees", ""), IF($T222 = "", "Missing Status", ""), IF(AND($D222 &lt;&gt; "", $E222 &lt;&gt; "", $D222 &gt;= $E222), "Start&gt;=End", ""), IF(OR($R222 = "", LEN($R222) &lt; 60, ISNUMBER(MATCH(TRIM($R222), StatusList, 0))), "Body overwritten/short", "")))))</f>
        <v/>
      </c>
    </row>
    <row r="223" spans="2:22" ht="12.75" customHeight="1">
      <c r="B223" s="25"/>
      <c r="C223" s="34"/>
      <c r="D223" s="38"/>
      <c r="E223" s="38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16" t="str">
        <f>IF($L223&lt;&gt;"","Purpose "&amp;CHAR(10)&amp;$L223&amp;CHAR(10)&amp;CHAR(10),"")&amp;
IF($M223&lt;&gt;"","Stops (in order) "&amp;CHAR(10)&amp;$M223&amp;CHAR(10)&amp;CHAR(10),"")&amp;
IF($N223&lt;&gt;"","To-Do (hard requirements) "&amp;CHAR(10)&amp;$N223&amp;CHAR(10)&amp;CHAR(10),"")&amp;
IF($O223&lt;&gt;"","Suggested Timeline "&amp;CHAR(10)&amp;$O223&amp;CHAR(10)&amp;CHAR(10),"")&amp;
IF($P223&lt;&gt;"","Guardrails "&amp;CHAR(10)&amp;$P223&amp;CHAR(10)&amp;CHAR(10),"")&amp;
IF($Q223&lt;&gt;"","Completion signals "&amp;CHAR(10)&amp;$Q223,"")</f>
        <v/>
      </c>
      <c r="S223" s="25"/>
      <c r="T223" s="25"/>
      <c r="U223" s="8"/>
      <c r="V223" s="8" t="str">
        <f>_xlfn.SINGLE(IF($B223 = "", "", IF(_xlfn.SINGLE(_xlfn.TEXTJOIN(" | ", TRUE, IF($B223 = "", "Missing Title", ""), IF($C223 = "", "Missing Date", ""), IF($D223 = "", "Missing Start", ""), IF($E223 = "", "Missing End", ""), IF($G223 = "", "Missing Required Attendees", ""), IF($T223 = "", "Missing Status", ""), IF(AND($D223 &lt;&gt; "", $E223 &lt;&gt; "", $D223 &gt;= $E223), "Start&gt;=End", ""), IF(OR($R223 = "", LEN($R223) &lt; 60, ISNUMBER(MATCH(TRIM($R223), StatusList, 0))), "Body overwritten/short", ""))) = "", "OK", _xlfn.TEXTJOIN(" | ", TRUE, IF($B223 = "", "Missing Title", ""), IF($C223 = "", "Missing Date", ""), IF($D223 = "", "Missing Start", ""), IF($E223 = "", "Missing End", ""), IF($G223 = "", "Missing Required Attendees", ""), IF($T223 = "", "Missing Status", ""), IF(AND($D223 &lt;&gt; "", $E223 &lt;&gt; "", $D223 &gt;= $E223), "Start&gt;=End", ""), IF(OR($R223 = "", LEN($R223) &lt; 60, ISNUMBER(MATCH(TRIM($R223), StatusList, 0))), "Body overwritten/short", "")))))</f>
        <v/>
      </c>
    </row>
    <row r="224" spans="2:22" ht="12.75" customHeight="1">
      <c r="B224" s="25"/>
      <c r="C224" s="34"/>
      <c r="D224" s="38"/>
      <c r="E224" s="38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16" t="str">
        <f>IF($L224&lt;&gt;"","Purpose "&amp;CHAR(10)&amp;$L224&amp;CHAR(10)&amp;CHAR(10),"")&amp;
IF($M224&lt;&gt;"","Stops (in order) "&amp;CHAR(10)&amp;$M224&amp;CHAR(10)&amp;CHAR(10),"")&amp;
IF($N224&lt;&gt;"","To-Do (hard requirements) "&amp;CHAR(10)&amp;$N224&amp;CHAR(10)&amp;CHAR(10),"")&amp;
IF($O224&lt;&gt;"","Suggested Timeline "&amp;CHAR(10)&amp;$O224&amp;CHAR(10)&amp;CHAR(10),"")&amp;
IF($P224&lt;&gt;"","Guardrails "&amp;CHAR(10)&amp;$P224&amp;CHAR(10)&amp;CHAR(10),"")&amp;
IF($Q224&lt;&gt;"","Completion signals "&amp;CHAR(10)&amp;$Q224,"")</f>
        <v/>
      </c>
      <c r="S224" s="25"/>
      <c r="T224" s="25"/>
      <c r="U224" s="8"/>
      <c r="V224" s="8" t="str">
        <f>_xlfn.SINGLE(IF($B224 = "", "", IF(_xlfn.SINGLE(_xlfn.TEXTJOIN(" | ", TRUE, IF($B224 = "", "Missing Title", ""), IF($C224 = "", "Missing Date", ""), IF($D224 = "", "Missing Start", ""), IF($E224 = "", "Missing End", ""), IF($G224 = "", "Missing Required Attendees", ""), IF($T224 = "", "Missing Status", ""), IF(AND($D224 &lt;&gt; "", $E224 &lt;&gt; "", $D224 &gt;= $E224), "Start&gt;=End", ""), IF(OR($R224 = "", LEN($R224) &lt; 60, ISNUMBER(MATCH(TRIM($R224), StatusList, 0))), "Body overwritten/short", ""))) = "", "OK", _xlfn.TEXTJOIN(" | ", TRUE, IF($B224 = "", "Missing Title", ""), IF($C224 = "", "Missing Date", ""), IF($D224 = "", "Missing Start", ""), IF($E224 = "", "Missing End", ""), IF($G224 = "", "Missing Required Attendees", ""), IF($T224 = "", "Missing Status", ""), IF(AND($D224 &lt;&gt; "", $E224 &lt;&gt; "", $D224 &gt;= $E224), "Start&gt;=End", ""), IF(OR($R224 = "", LEN($R224) &lt; 60, ISNUMBER(MATCH(TRIM($R224), StatusList, 0))), "Body overwritten/short", "")))))</f>
        <v/>
      </c>
    </row>
    <row r="225" spans="2:22" ht="12.75" customHeight="1">
      <c r="B225" s="25"/>
      <c r="C225" s="34"/>
      <c r="D225" s="38"/>
      <c r="E225" s="38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16" t="str">
        <f>IF($L225&lt;&gt;"","Purpose "&amp;CHAR(10)&amp;$L225&amp;CHAR(10)&amp;CHAR(10),"")&amp;
IF($M225&lt;&gt;"","Stops (in order) "&amp;CHAR(10)&amp;$M225&amp;CHAR(10)&amp;CHAR(10),"")&amp;
IF($N225&lt;&gt;"","To-Do (hard requirements) "&amp;CHAR(10)&amp;$N225&amp;CHAR(10)&amp;CHAR(10),"")&amp;
IF($O225&lt;&gt;"","Suggested Timeline "&amp;CHAR(10)&amp;$O225&amp;CHAR(10)&amp;CHAR(10),"")&amp;
IF($P225&lt;&gt;"","Guardrails "&amp;CHAR(10)&amp;$P225&amp;CHAR(10)&amp;CHAR(10),"")&amp;
IF($Q225&lt;&gt;"","Completion signals "&amp;CHAR(10)&amp;$Q225,"")</f>
        <v/>
      </c>
      <c r="S225" s="25"/>
      <c r="T225" s="25"/>
      <c r="U225" s="8"/>
      <c r="V225" s="8" t="str">
        <f>_xlfn.SINGLE(IF($B225 = "", "", IF(_xlfn.SINGLE(_xlfn.TEXTJOIN(" | ", TRUE, IF($B225 = "", "Missing Title", ""), IF($C225 = "", "Missing Date", ""), IF($D225 = "", "Missing Start", ""), IF($E225 = "", "Missing End", ""), IF($G225 = "", "Missing Required Attendees", ""), IF($T225 = "", "Missing Status", ""), IF(AND($D225 &lt;&gt; "", $E225 &lt;&gt; "", $D225 &gt;= $E225), "Start&gt;=End", ""), IF(OR($R225 = "", LEN($R225) &lt; 60, ISNUMBER(MATCH(TRIM($R225), StatusList, 0))), "Body overwritten/short", ""))) = "", "OK", _xlfn.TEXTJOIN(" | ", TRUE, IF($B225 = "", "Missing Title", ""), IF($C225 = "", "Missing Date", ""), IF($D225 = "", "Missing Start", ""), IF($E225 = "", "Missing End", ""), IF($G225 = "", "Missing Required Attendees", ""), IF($T225 = "", "Missing Status", ""), IF(AND($D225 &lt;&gt; "", $E225 &lt;&gt; "", $D225 &gt;= $E225), "Start&gt;=End", ""), IF(OR($R225 = "", LEN($R225) &lt; 60, ISNUMBER(MATCH(TRIM($R225), StatusList, 0))), "Body overwritten/short", "")))))</f>
        <v/>
      </c>
    </row>
    <row r="226" spans="2:22" ht="12.75" customHeight="1">
      <c r="B226" s="25"/>
      <c r="C226" s="34"/>
      <c r="D226" s="38"/>
      <c r="E226" s="38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16" t="str">
        <f>IF($L226&lt;&gt;"","Purpose "&amp;CHAR(10)&amp;$L226&amp;CHAR(10)&amp;CHAR(10),"")&amp;
IF($M226&lt;&gt;"","Stops (in order) "&amp;CHAR(10)&amp;$M226&amp;CHAR(10)&amp;CHAR(10),"")&amp;
IF($N226&lt;&gt;"","To-Do (hard requirements) "&amp;CHAR(10)&amp;$N226&amp;CHAR(10)&amp;CHAR(10),"")&amp;
IF($O226&lt;&gt;"","Suggested Timeline "&amp;CHAR(10)&amp;$O226&amp;CHAR(10)&amp;CHAR(10),"")&amp;
IF($P226&lt;&gt;"","Guardrails "&amp;CHAR(10)&amp;$P226&amp;CHAR(10)&amp;CHAR(10),"")&amp;
IF($Q226&lt;&gt;"","Completion signals "&amp;CHAR(10)&amp;$Q226,"")</f>
        <v/>
      </c>
      <c r="S226" s="25"/>
      <c r="T226" s="25"/>
      <c r="U226" s="8"/>
      <c r="V226" s="8" t="str">
        <f>_xlfn.SINGLE(IF($B226 = "", "", IF(_xlfn.SINGLE(_xlfn.TEXTJOIN(" | ", TRUE, IF($B226 = "", "Missing Title", ""), IF($C226 = "", "Missing Date", ""), IF($D226 = "", "Missing Start", ""), IF($E226 = "", "Missing End", ""), IF($G226 = "", "Missing Required Attendees", ""), IF($T226 = "", "Missing Status", ""), IF(AND($D226 &lt;&gt; "", $E226 &lt;&gt; "", $D226 &gt;= $E226), "Start&gt;=End", ""), IF(OR($R226 = "", LEN($R226) &lt; 60, ISNUMBER(MATCH(TRIM($R226), StatusList, 0))), "Body overwritten/short", ""))) = "", "OK", _xlfn.TEXTJOIN(" | ", TRUE, IF($B226 = "", "Missing Title", ""), IF($C226 = "", "Missing Date", ""), IF($D226 = "", "Missing Start", ""), IF($E226 = "", "Missing End", ""), IF($G226 = "", "Missing Required Attendees", ""), IF($T226 = "", "Missing Status", ""), IF(AND($D226 &lt;&gt; "", $E226 &lt;&gt; "", $D226 &gt;= $E226), "Start&gt;=End", ""), IF(OR($R226 = "", LEN($R226) &lt; 60, ISNUMBER(MATCH(TRIM($R226), StatusList, 0))), "Body overwritten/short", "")))))</f>
        <v/>
      </c>
    </row>
    <row r="227" spans="2:22" ht="12.75" customHeight="1">
      <c r="B227" s="25"/>
      <c r="C227" s="34"/>
      <c r="D227" s="38"/>
      <c r="E227" s="38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16" t="str">
        <f>IF($L227&lt;&gt;"","Purpose "&amp;CHAR(10)&amp;$L227&amp;CHAR(10)&amp;CHAR(10),"")&amp;
IF($M227&lt;&gt;"","Stops (in order) "&amp;CHAR(10)&amp;$M227&amp;CHAR(10)&amp;CHAR(10),"")&amp;
IF($N227&lt;&gt;"","To-Do (hard requirements) "&amp;CHAR(10)&amp;$N227&amp;CHAR(10)&amp;CHAR(10),"")&amp;
IF($O227&lt;&gt;"","Suggested Timeline "&amp;CHAR(10)&amp;$O227&amp;CHAR(10)&amp;CHAR(10),"")&amp;
IF($P227&lt;&gt;"","Guardrails "&amp;CHAR(10)&amp;$P227&amp;CHAR(10)&amp;CHAR(10),"")&amp;
IF($Q227&lt;&gt;"","Completion signals "&amp;CHAR(10)&amp;$Q227,"")</f>
        <v/>
      </c>
      <c r="S227" s="25"/>
      <c r="T227" s="25"/>
      <c r="U227" s="8"/>
      <c r="V227" s="8" t="str">
        <f>_xlfn.SINGLE(IF($B227 = "", "", IF(_xlfn.SINGLE(_xlfn.TEXTJOIN(" | ", TRUE, IF($B227 = "", "Missing Title", ""), IF($C227 = "", "Missing Date", ""), IF($D227 = "", "Missing Start", ""), IF($E227 = "", "Missing End", ""), IF($G227 = "", "Missing Required Attendees", ""), IF($T227 = "", "Missing Status", ""), IF(AND($D227 &lt;&gt; "", $E227 &lt;&gt; "", $D227 &gt;= $E227), "Start&gt;=End", ""), IF(OR($R227 = "", LEN($R227) &lt; 60, ISNUMBER(MATCH(TRIM($R227), StatusList, 0))), "Body overwritten/short", ""))) = "", "OK", _xlfn.TEXTJOIN(" | ", TRUE, IF($B227 = "", "Missing Title", ""), IF($C227 = "", "Missing Date", ""), IF($D227 = "", "Missing Start", ""), IF($E227 = "", "Missing End", ""), IF($G227 = "", "Missing Required Attendees", ""), IF($T227 = "", "Missing Status", ""), IF(AND($D227 &lt;&gt; "", $E227 &lt;&gt; "", $D227 &gt;= $E227), "Start&gt;=End", ""), IF(OR($R227 = "", LEN($R227) &lt; 60, ISNUMBER(MATCH(TRIM($R227), StatusList, 0))), "Body overwritten/short", "")))))</f>
        <v/>
      </c>
    </row>
    <row r="228" spans="2:22" ht="12.75" customHeight="1">
      <c r="B228" s="25"/>
      <c r="C228" s="34"/>
      <c r="D228" s="38"/>
      <c r="E228" s="38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16" t="str">
        <f>IF($L228&lt;&gt;"","Purpose "&amp;CHAR(10)&amp;$L228&amp;CHAR(10)&amp;CHAR(10),"")&amp;
IF($M228&lt;&gt;"","Stops (in order) "&amp;CHAR(10)&amp;$M228&amp;CHAR(10)&amp;CHAR(10),"")&amp;
IF($N228&lt;&gt;"","To-Do (hard requirements) "&amp;CHAR(10)&amp;$N228&amp;CHAR(10)&amp;CHAR(10),"")&amp;
IF($O228&lt;&gt;"","Suggested Timeline "&amp;CHAR(10)&amp;$O228&amp;CHAR(10)&amp;CHAR(10),"")&amp;
IF($P228&lt;&gt;"","Guardrails "&amp;CHAR(10)&amp;$P228&amp;CHAR(10)&amp;CHAR(10),"")&amp;
IF($Q228&lt;&gt;"","Completion signals "&amp;CHAR(10)&amp;$Q228,"")</f>
        <v/>
      </c>
      <c r="S228" s="25"/>
      <c r="T228" s="25"/>
      <c r="U228" s="8"/>
      <c r="V228" s="8" t="str">
        <f>_xlfn.SINGLE(IF($B228 = "", "", IF(_xlfn.SINGLE(_xlfn.TEXTJOIN(" | ", TRUE, IF($B228 = "", "Missing Title", ""), IF($C228 = "", "Missing Date", ""), IF($D228 = "", "Missing Start", ""), IF($E228 = "", "Missing End", ""), IF($G228 = "", "Missing Required Attendees", ""), IF($T228 = "", "Missing Status", ""), IF(AND($D228 &lt;&gt; "", $E228 &lt;&gt; "", $D228 &gt;= $E228), "Start&gt;=End", ""), IF(OR($R228 = "", LEN($R228) &lt; 60, ISNUMBER(MATCH(TRIM($R228), StatusList, 0))), "Body overwritten/short", ""))) = "", "OK", _xlfn.TEXTJOIN(" | ", TRUE, IF($B228 = "", "Missing Title", ""), IF($C228 = "", "Missing Date", ""), IF($D228 = "", "Missing Start", ""), IF($E228 = "", "Missing End", ""), IF($G228 = "", "Missing Required Attendees", ""), IF($T228 = "", "Missing Status", ""), IF(AND($D228 &lt;&gt; "", $E228 &lt;&gt; "", $D228 &gt;= $E228), "Start&gt;=End", ""), IF(OR($R228 = "", LEN($R228) &lt; 60, ISNUMBER(MATCH(TRIM($R228), StatusList, 0))), "Body overwritten/short", "")))))</f>
        <v/>
      </c>
    </row>
    <row r="229" spans="2:22" ht="12.75" customHeight="1">
      <c r="B229" s="25"/>
      <c r="C229" s="34"/>
      <c r="D229" s="38"/>
      <c r="E229" s="38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16" t="str">
        <f>IF($L229&lt;&gt;"","Purpose "&amp;CHAR(10)&amp;$L229&amp;CHAR(10)&amp;CHAR(10),"")&amp;
IF($M229&lt;&gt;"","Stops (in order) "&amp;CHAR(10)&amp;$M229&amp;CHAR(10)&amp;CHAR(10),"")&amp;
IF($N229&lt;&gt;"","To-Do (hard requirements) "&amp;CHAR(10)&amp;$N229&amp;CHAR(10)&amp;CHAR(10),"")&amp;
IF($O229&lt;&gt;"","Suggested Timeline "&amp;CHAR(10)&amp;$O229&amp;CHAR(10)&amp;CHAR(10),"")&amp;
IF($P229&lt;&gt;"","Guardrails "&amp;CHAR(10)&amp;$P229&amp;CHAR(10)&amp;CHAR(10),"")&amp;
IF($Q229&lt;&gt;"","Completion signals "&amp;CHAR(10)&amp;$Q229,"")</f>
        <v/>
      </c>
      <c r="S229" s="25"/>
      <c r="T229" s="25"/>
      <c r="U229" s="8"/>
      <c r="V229" s="8" t="str">
        <f>_xlfn.SINGLE(IF($B229 = "", "", IF(_xlfn.SINGLE(_xlfn.TEXTJOIN(" | ", TRUE, IF($B229 = "", "Missing Title", ""), IF($C229 = "", "Missing Date", ""), IF($D229 = "", "Missing Start", ""), IF($E229 = "", "Missing End", ""), IF($G229 = "", "Missing Required Attendees", ""), IF($T229 = "", "Missing Status", ""), IF(AND($D229 &lt;&gt; "", $E229 &lt;&gt; "", $D229 &gt;= $E229), "Start&gt;=End", ""), IF(OR($R229 = "", LEN($R229) &lt; 60, ISNUMBER(MATCH(TRIM($R229), StatusList, 0))), "Body overwritten/short", ""))) = "", "OK", _xlfn.TEXTJOIN(" | ", TRUE, IF($B229 = "", "Missing Title", ""), IF($C229 = "", "Missing Date", ""), IF($D229 = "", "Missing Start", ""), IF($E229 = "", "Missing End", ""), IF($G229 = "", "Missing Required Attendees", ""), IF($T229 = "", "Missing Status", ""), IF(AND($D229 &lt;&gt; "", $E229 &lt;&gt; "", $D229 &gt;= $E229), "Start&gt;=End", ""), IF(OR($R229 = "", LEN($R229) &lt; 60, ISNUMBER(MATCH(TRIM($R229), StatusList, 0))), "Body overwritten/short", "")))))</f>
        <v/>
      </c>
    </row>
    <row r="230" spans="2:22" ht="12.75" customHeight="1">
      <c r="B230" s="25"/>
      <c r="C230" s="34"/>
      <c r="D230" s="38"/>
      <c r="E230" s="38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16" t="str">
        <f>IF($L230&lt;&gt;"","Purpose "&amp;CHAR(10)&amp;$L230&amp;CHAR(10)&amp;CHAR(10),"")&amp;
IF($M230&lt;&gt;"","Stops (in order) "&amp;CHAR(10)&amp;$M230&amp;CHAR(10)&amp;CHAR(10),"")&amp;
IF($N230&lt;&gt;"","To-Do (hard requirements) "&amp;CHAR(10)&amp;$N230&amp;CHAR(10)&amp;CHAR(10),"")&amp;
IF($O230&lt;&gt;"","Suggested Timeline "&amp;CHAR(10)&amp;$O230&amp;CHAR(10)&amp;CHAR(10),"")&amp;
IF($P230&lt;&gt;"","Guardrails "&amp;CHAR(10)&amp;$P230&amp;CHAR(10)&amp;CHAR(10),"")&amp;
IF($Q230&lt;&gt;"","Completion signals "&amp;CHAR(10)&amp;$Q230,"")</f>
        <v/>
      </c>
      <c r="S230" s="25"/>
      <c r="T230" s="25"/>
      <c r="U230" s="8"/>
      <c r="V230" s="8" t="str">
        <f>_xlfn.SINGLE(IF($B230 = "", "", IF(_xlfn.SINGLE(_xlfn.TEXTJOIN(" | ", TRUE, IF($B230 = "", "Missing Title", ""), IF($C230 = "", "Missing Date", ""), IF($D230 = "", "Missing Start", ""), IF($E230 = "", "Missing End", ""), IF($G230 = "", "Missing Required Attendees", ""), IF($T230 = "", "Missing Status", ""), IF(AND($D230 &lt;&gt; "", $E230 &lt;&gt; "", $D230 &gt;= $E230), "Start&gt;=End", ""), IF(OR($R230 = "", LEN($R230) &lt; 60, ISNUMBER(MATCH(TRIM($R230), StatusList, 0))), "Body overwritten/short", ""))) = "", "OK", _xlfn.TEXTJOIN(" | ", TRUE, IF($B230 = "", "Missing Title", ""), IF($C230 = "", "Missing Date", ""), IF($D230 = "", "Missing Start", ""), IF($E230 = "", "Missing End", ""), IF($G230 = "", "Missing Required Attendees", ""), IF($T230 = "", "Missing Status", ""), IF(AND($D230 &lt;&gt; "", $E230 &lt;&gt; "", $D230 &gt;= $E230), "Start&gt;=End", ""), IF(OR($R230 = "", LEN($R230) &lt; 60, ISNUMBER(MATCH(TRIM($R230), StatusList, 0))), "Body overwritten/short", "")))))</f>
        <v/>
      </c>
    </row>
    <row r="231" spans="2:22" ht="12.75" customHeight="1">
      <c r="B231" s="25"/>
      <c r="C231" s="34"/>
      <c r="D231" s="38"/>
      <c r="E231" s="38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16" t="str">
        <f>IF($L231&lt;&gt;"","Purpose "&amp;CHAR(10)&amp;$L231&amp;CHAR(10)&amp;CHAR(10),"")&amp;
IF($M231&lt;&gt;"","Stops (in order) "&amp;CHAR(10)&amp;$M231&amp;CHAR(10)&amp;CHAR(10),"")&amp;
IF($N231&lt;&gt;"","To-Do (hard requirements) "&amp;CHAR(10)&amp;$N231&amp;CHAR(10)&amp;CHAR(10),"")&amp;
IF($O231&lt;&gt;"","Suggested Timeline "&amp;CHAR(10)&amp;$O231&amp;CHAR(10)&amp;CHAR(10),"")&amp;
IF($P231&lt;&gt;"","Guardrails "&amp;CHAR(10)&amp;$P231&amp;CHAR(10)&amp;CHAR(10),"")&amp;
IF($Q231&lt;&gt;"","Completion signals "&amp;CHAR(10)&amp;$Q231,"")</f>
        <v/>
      </c>
      <c r="S231" s="25"/>
      <c r="T231" s="25"/>
      <c r="U231" s="8"/>
      <c r="V231" s="8" t="str">
        <f>_xlfn.SINGLE(IF($B231 = "", "", IF(_xlfn.SINGLE(_xlfn.TEXTJOIN(" | ", TRUE, IF($B231 = "", "Missing Title", ""), IF($C231 = "", "Missing Date", ""), IF($D231 = "", "Missing Start", ""), IF($E231 = "", "Missing End", ""), IF($G231 = "", "Missing Required Attendees", ""), IF($T231 = "", "Missing Status", ""), IF(AND($D231 &lt;&gt; "", $E231 &lt;&gt; "", $D231 &gt;= $E231), "Start&gt;=End", ""), IF(OR($R231 = "", LEN($R231) &lt; 60, ISNUMBER(MATCH(TRIM($R231), StatusList, 0))), "Body overwritten/short", ""))) = "", "OK", _xlfn.TEXTJOIN(" | ", TRUE, IF($B231 = "", "Missing Title", ""), IF($C231 = "", "Missing Date", ""), IF($D231 = "", "Missing Start", ""), IF($E231 = "", "Missing End", ""), IF($G231 = "", "Missing Required Attendees", ""), IF($T231 = "", "Missing Status", ""), IF(AND($D231 &lt;&gt; "", $E231 &lt;&gt; "", $D231 &gt;= $E231), "Start&gt;=End", ""), IF(OR($R231 = "", LEN($R231) &lt; 60, ISNUMBER(MATCH(TRIM($R231), StatusList, 0))), "Body overwritten/short", "")))))</f>
        <v/>
      </c>
    </row>
    <row r="232" spans="2:22" ht="12.75" customHeight="1">
      <c r="B232" s="25"/>
      <c r="C232" s="34"/>
      <c r="D232" s="38"/>
      <c r="E232" s="38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16" t="str">
        <f>IF($L232&lt;&gt;"","Purpose "&amp;CHAR(10)&amp;$L232&amp;CHAR(10)&amp;CHAR(10),"")&amp;
IF($M232&lt;&gt;"","Stops (in order) "&amp;CHAR(10)&amp;$M232&amp;CHAR(10)&amp;CHAR(10),"")&amp;
IF($N232&lt;&gt;"","To-Do (hard requirements) "&amp;CHAR(10)&amp;$N232&amp;CHAR(10)&amp;CHAR(10),"")&amp;
IF($O232&lt;&gt;"","Suggested Timeline "&amp;CHAR(10)&amp;$O232&amp;CHAR(10)&amp;CHAR(10),"")&amp;
IF($P232&lt;&gt;"","Guardrails "&amp;CHAR(10)&amp;$P232&amp;CHAR(10)&amp;CHAR(10),"")&amp;
IF($Q232&lt;&gt;"","Completion signals "&amp;CHAR(10)&amp;$Q232,"")</f>
        <v/>
      </c>
      <c r="S232" s="25"/>
      <c r="T232" s="25"/>
      <c r="U232" s="8"/>
      <c r="V232" s="8" t="str">
        <f>_xlfn.SINGLE(IF($B232 = "", "", IF(_xlfn.SINGLE(_xlfn.TEXTJOIN(" | ", TRUE, IF($B232 = "", "Missing Title", ""), IF($C232 = "", "Missing Date", ""), IF($D232 = "", "Missing Start", ""), IF($E232 = "", "Missing End", ""), IF($G232 = "", "Missing Required Attendees", ""), IF($T232 = "", "Missing Status", ""), IF(AND($D232 &lt;&gt; "", $E232 &lt;&gt; "", $D232 &gt;= $E232), "Start&gt;=End", ""), IF(OR($R232 = "", LEN($R232) &lt; 60, ISNUMBER(MATCH(TRIM($R232), StatusList, 0))), "Body overwritten/short", ""))) = "", "OK", _xlfn.TEXTJOIN(" | ", TRUE, IF($B232 = "", "Missing Title", ""), IF($C232 = "", "Missing Date", ""), IF($D232 = "", "Missing Start", ""), IF($E232 = "", "Missing End", ""), IF($G232 = "", "Missing Required Attendees", ""), IF($T232 = "", "Missing Status", ""), IF(AND($D232 &lt;&gt; "", $E232 &lt;&gt; "", $D232 &gt;= $E232), "Start&gt;=End", ""), IF(OR($R232 = "", LEN($R232) &lt; 60, ISNUMBER(MATCH(TRIM($R232), StatusList, 0))), "Body overwritten/short", "")))))</f>
        <v/>
      </c>
    </row>
    <row r="233" spans="2:22" ht="12.75" customHeight="1">
      <c r="B233" s="25"/>
      <c r="C233" s="34"/>
      <c r="D233" s="38"/>
      <c r="E233" s="38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16" t="str">
        <f>IF($L233&lt;&gt;"","Purpose "&amp;CHAR(10)&amp;$L233&amp;CHAR(10)&amp;CHAR(10),"")&amp;
IF($M233&lt;&gt;"","Stops (in order) "&amp;CHAR(10)&amp;$M233&amp;CHAR(10)&amp;CHAR(10),"")&amp;
IF($N233&lt;&gt;"","To-Do (hard requirements) "&amp;CHAR(10)&amp;$N233&amp;CHAR(10)&amp;CHAR(10),"")&amp;
IF($O233&lt;&gt;"","Suggested Timeline "&amp;CHAR(10)&amp;$O233&amp;CHAR(10)&amp;CHAR(10),"")&amp;
IF($P233&lt;&gt;"","Guardrails "&amp;CHAR(10)&amp;$P233&amp;CHAR(10)&amp;CHAR(10),"")&amp;
IF($Q233&lt;&gt;"","Completion signals "&amp;CHAR(10)&amp;$Q233,"")</f>
        <v/>
      </c>
      <c r="S233" s="25"/>
      <c r="T233" s="25"/>
      <c r="U233" s="8"/>
      <c r="V233" s="8" t="str">
        <f>_xlfn.SINGLE(IF($B233 = "", "", IF(_xlfn.SINGLE(_xlfn.TEXTJOIN(" | ", TRUE, IF($B233 = "", "Missing Title", ""), IF($C233 = "", "Missing Date", ""), IF($D233 = "", "Missing Start", ""), IF($E233 = "", "Missing End", ""), IF($G233 = "", "Missing Required Attendees", ""), IF($T233 = "", "Missing Status", ""), IF(AND($D233 &lt;&gt; "", $E233 &lt;&gt; "", $D233 &gt;= $E233), "Start&gt;=End", ""), IF(OR($R233 = "", LEN($R233) &lt; 60, ISNUMBER(MATCH(TRIM($R233), StatusList, 0))), "Body overwritten/short", ""))) = "", "OK", _xlfn.TEXTJOIN(" | ", TRUE, IF($B233 = "", "Missing Title", ""), IF($C233 = "", "Missing Date", ""), IF($D233 = "", "Missing Start", ""), IF($E233 = "", "Missing End", ""), IF($G233 = "", "Missing Required Attendees", ""), IF($T233 = "", "Missing Status", ""), IF(AND($D233 &lt;&gt; "", $E233 &lt;&gt; "", $D233 &gt;= $E233), "Start&gt;=End", ""), IF(OR($R233 = "", LEN($R233) &lt; 60, ISNUMBER(MATCH(TRIM($R233), StatusList, 0))), "Body overwritten/short", "")))))</f>
        <v/>
      </c>
    </row>
    <row r="234" spans="2:22" ht="12.75" customHeight="1">
      <c r="B234" s="25"/>
      <c r="C234" s="34"/>
      <c r="D234" s="38"/>
      <c r="E234" s="38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16" t="str">
        <f>IF($L234&lt;&gt;"","Purpose "&amp;CHAR(10)&amp;$L234&amp;CHAR(10)&amp;CHAR(10),"")&amp;
IF($M234&lt;&gt;"","Stops (in order) "&amp;CHAR(10)&amp;$M234&amp;CHAR(10)&amp;CHAR(10),"")&amp;
IF($N234&lt;&gt;"","To-Do (hard requirements) "&amp;CHAR(10)&amp;$N234&amp;CHAR(10)&amp;CHAR(10),"")&amp;
IF($O234&lt;&gt;"","Suggested Timeline "&amp;CHAR(10)&amp;$O234&amp;CHAR(10)&amp;CHAR(10),"")&amp;
IF($P234&lt;&gt;"","Guardrails "&amp;CHAR(10)&amp;$P234&amp;CHAR(10)&amp;CHAR(10),"")&amp;
IF($Q234&lt;&gt;"","Completion signals "&amp;CHAR(10)&amp;$Q234,"")</f>
        <v/>
      </c>
      <c r="S234" s="25"/>
      <c r="T234" s="25"/>
      <c r="U234" s="8"/>
      <c r="V234" s="8" t="str">
        <f>_xlfn.SINGLE(IF($B234 = "", "", IF(_xlfn.SINGLE(_xlfn.TEXTJOIN(" | ", TRUE, IF($B234 = "", "Missing Title", ""), IF($C234 = "", "Missing Date", ""), IF($D234 = "", "Missing Start", ""), IF($E234 = "", "Missing End", ""), IF($G234 = "", "Missing Required Attendees", ""), IF($T234 = "", "Missing Status", ""), IF(AND($D234 &lt;&gt; "", $E234 &lt;&gt; "", $D234 &gt;= $E234), "Start&gt;=End", ""), IF(OR($R234 = "", LEN($R234) &lt; 60, ISNUMBER(MATCH(TRIM($R234), StatusList, 0))), "Body overwritten/short", ""))) = "", "OK", _xlfn.TEXTJOIN(" | ", TRUE, IF($B234 = "", "Missing Title", ""), IF($C234 = "", "Missing Date", ""), IF($D234 = "", "Missing Start", ""), IF($E234 = "", "Missing End", ""), IF($G234 = "", "Missing Required Attendees", ""), IF($T234 = "", "Missing Status", ""), IF(AND($D234 &lt;&gt; "", $E234 &lt;&gt; "", $D234 &gt;= $E234), "Start&gt;=End", ""), IF(OR($R234 = "", LEN($R234) &lt; 60, ISNUMBER(MATCH(TRIM($R234), StatusList, 0))), "Body overwritten/short", "")))))</f>
        <v/>
      </c>
    </row>
    <row r="235" spans="2:22" ht="12.75" customHeight="1">
      <c r="B235" s="25"/>
      <c r="C235" s="34"/>
      <c r="D235" s="38"/>
      <c r="E235" s="38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16" t="str">
        <f>IF($L235&lt;&gt;"","Purpose "&amp;CHAR(10)&amp;$L235&amp;CHAR(10)&amp;CHAR(10),"")&amp;
IF($M235&lt;&gt;"","Stops (in order) "&amp;CHAR(10)&amp;$M235&amp;CHAR(10)&amp;CHAR(10),"")&amp;
IF($N235&lt;&gt;"","To-Do (hard requirements) "&amp;CHAR(10)&amp;$N235&amp;CHAR(10)&amp;CHAR(10),"")&amp;
IF($O235&lt;&gt;"","Suggested Timeline "&amp;CHAR(10)&amp;$O235&amp;CHAR(10)&amp;CHAR(10),"")&amp;
IF($P235&lt;&gt;"","Guardrails "&amp;CHAR(10)&amp;$P235&amp;CHAR(10)&amp;CHAR(10),"")&amp;
IF($Q235&lt;&gt;"","Completion signals "&amp;CHAR(10)&amp;$Q235,"")</f>
        <v/>
      </c>
      <c r="S235" s="25"/>
      <c r="T235" s="25"/>
      <c r="U235" s="8"/>
      <c r="V235" s="8" t="str">
        <f>_xlfn.SINGLE(IF($B235 = "", "", IF(_xlfn.SINGLE(_xlfn.TEXTJOIN(" | ", TRUE, IF($B235 = "", "Missing Title", ""), IF($C235 = "", "Missing Date", ""), IF($D235 = "", "Missing Start", ""), IF($E235 = "", "Missing End", ""), IF($G235 = "", "Missing Required Attendees", ""), IF($T235 = "", "Missing Status", ""), IF(AND($D235 &lt;&gt; "", $E235 &lt;&gt; "", $D235 &gt;= $E235), "Start&gt;=End", ""), IF(OR($R235 = "", LEN($R235) &lt; 60, ISNUMBER(MATCH(TRIM($R235), StatusList, 0))), "Body overwritten/short", ""))) = "", "OK", _xlfn.TEXTJOIN(" | ", TRUE, IF($B235 = "", "Missing Title", ""), IF($C235 = "", "Missing Date", ""), IF($D235 = "", "Missing Start", ""), IF($E235 = "", "Missing End", ""), IF($G235 = "", "Missing Required Attendees", ""), IF($T235 = "", "Missing Status", ""), IF(AND($D235 &lt;&gt; "", $E235 &lt;&gt; "", $D235 &gt;= $E235), "Start&gt;=End", ""), IF(OR($R235 = "", LEN($R235) &lt; 60, ISNUMBER(MATCH(TRIM($R235), StatusList, 0))), "Body overwritten/short", "")))))</f>
        <v/>
      </c>
    </row>
    <row r="236" spans="2:22" ht="12.75" customHeight="1">
      <c r="B236" s="25"/>
      <c r="C236" s="34"/>
      <c r="D236" s="38"/>
      <c r="E236" s="38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16" t="str">
        <f>IF($L236&lt;&gt;"","Purpose "&amp;CHAR(10)&amp;$L236&amp;CHAR(10)&amp;CHAR(10),"")&amp;
IF($M236&lt;&gt;"","Stops (in order) "&amp;CHAR(10)&amp;$M236&amp;CHAR(10)&amp;CHAR(10),"")&amp;
IF($N236&lt;&gt;"","To-Do (hard requirements) "&amp;CHAR(10)&amp;$N236&amp;CHAR(10)&amp;CHAR(10),"")&amp;
IF($O236&lt;&gt;"","Suggested Timeline "&amp;CHAR(10)&amp;$O236&amp;CHAR(10)&amp;CHAR(10),"")&amp;
IF($P236&lt;&gt;"","Guardrails "&amp;CHAR(10)&amp;$P236&amp;CHAR(10)&amp;CHAR(10),"")&amp;
IF($Q236&lt;&gt;"","Completion signals "&amp;CHAR(10)&amp;$Q236,"")</f>
        <v/>
      </c>
      <c r="S236" s="25"/>
      <c r="T236" s="25"/>
      <c r="U236" s="8"/>
      <c r="V236" s="8" t="str">
        <f>_xlfn.SINGLE(IF($B236 = "", "", IF(_xlfn.SINGLE(_xlfn.TEXTJOIN(" | ", TRUE, IF($B236 = "", "Missing Title", ""), IF($C236 = "", "Missing Date", ""), IF($D236 = "", "Missing Start", ""), IF($E236 = "", "Missing End", ""), IF($G236 = "", "Missing Required Attendees", ""), IF($T236 = "", "Missing Status", ""), IF(AND($D236 &lt;&gt; "", $E236 &lt;&gt; "", $D236 &gt;= $E236), "Start&gt;=End", ""), IF(OR($R236 = "", LEN($R236) &lt; 60, ISNUMBER(MATCH(TRIM($R236), StatusList, 0))), "Body overwritten/short", ""))) = "", "OK", _xlfn.TEXTJOIN(" | ", TRUE, IF($B236 = "", "Missing Title", ""), IF($C236 = "", "Missing Date", ""), IF($D236 = "", "Missing Start", ""), IF($E236 = "", "Missing End", ""), IF($G236 = "", "Missing Required Attendees", ""), IF($T236 = "", "Missing Status", ""), IF(AND($D236 &lt;&gt; "", $E236 &lt;&gt; "", $D236 &gt;= $E236), "Start&gt;=End", ""), IF(OR($R236 = "", LEN($R236) &lt; 60, ISNUMBER(MATCH(TRIM($R236), StatusList, 0))), "Body overwritten/short", "")))))</f>
        <v/>
      </c>
    </row>
    <row r="237" spans="2:22" ht="12.75" customHeight="1">
      <c r="B237" s="25"/>
      <c r="C237" s="34"/>
      <c r="D237" s="38"/>
      <c r="E237" s="38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16" t="str">
        <f>IF($L237&lt;&gt;"","Purpose "&amp;CHAR(10)&amp;$L237&amp;CHAR(10)&amp;CHAR(10),"")&amp;
IF($M237&lt;&gt;"","Stops (in order) "&amp;CHAR(10)&amp;$M237&amp;CHAR(10)&amp;CHAR(10),"")&amp;
IF($N237&lt;&gt;"","To-Do (hard requirements) "&amp;CHAR(10)&amp;$N237&amp;CHAR(10)&amp;CHAR(10),"")&amp;
IF($O237&lt;&gt;"","Suggested Timeline "&amp;CHAR(10)&amp;$O237&amp;CHAR(10)&amp;CHAR(10),"")&amp;
IF($P237&lt;&gt;"","Guardrails "&amp;CHAR(10)&amp;$P237&amp;CHAR(10)&amp;CHAR(10),"")&amp;
IF($Q237&lt;&gt;"","Completion signals "&amp;CHAR(10)&amp;$Q237,"")</f>
        <v/>
      </c>
      <c r="S237" s="25"/>
      <c r="T237" s="25"/>
      <c r="U237" s="8"/>
      <c r="V237" s="8" t="str">
        <f>_xlfn.SINGLE(IF($B237 = "", "", IF(_xlfn.SINGLE(_xlfn.TEXTJOIN(" | ", TRUE, IF($B237 = "", "Missing Title", ""), IF($C237 = "", "Missing Date", ""), IF($D237 = "", "Missing Start", ""), IF($E237 = "", "Missing End", ""), IF($G237 = "", "Missing Required Attendees", ""), IF($T237 = "", "Missing Status", ""), IF(AND($D237 &lt;&gt; "", $E237 &lt;&gt; "", $D237 &gt;= $E237), "Start&gt;=End", ""), IF(OR($R237 = "", LEN($R237) &lt; 60, ISNUMBER(MATCH(TRIM($R237), StatusList, 0))), "Body overwritten/short", ""))) = "", "OK", _xlfn.TEXTJOIN(" | ", TRUE, IF($B237 = "", "Missing Title", ""), IF($C237 = "", "Missing Date", ""), IF($D237 = "", "Missing Start", ""), IF($E237 = "", "Missing End", ""), IF($G237 = "", "Missing Required Attendees", ""), IF($T237 = "", "Missing Status", ""), IF(AND($D237 &lt;&gt; "", $E237 &lt;&gt; "", $D237 &gt;= $E237), "Start&gt;=End", ""), IF(OR($R237 = "", LEN($R237) &lt; 60, ISNUMBER(MATCH(TRIM($R237), StatusList, 0))), "Body overwritten/short", "")))))</f>
        <v/>
      </c>
    </row>
    <row r="238" spans="2:22" ht="12.75" customHeight="1">
      <c r="B238" s="25"/>
      <c r="C238" s="34"/>
      <c r="D238" s="38"/>
      <c r="E238" s="38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16" t="str">
        <f>IF($L238&lt;&gt;"","Purpose "&amp;CHAR(10)&amp;$L238&amp;CHAR(10)&amp;CHAR(10),"")&amp;
IF($M238&lt;&gt;"","Stops (in order) "&amp;CHAR(10)&amp;$M238&amp;CHAR(10)&amp;CHAR(10),"")&amp;
IF($N238&lt;&gt;"","To-Do (hard requirements) "&amp;CHAR(10)&amp;$N238&amp;CHAR(10)&amp;CHAR(10),"")&amp;
IF($O238&lt;&gt;"","Suggested Timeline "&amp;CHAR(10)&amp;$O238&amp;CHAR(10)&amp;CHAR(10),"")&amp;
IF($P238&lt;&gt;"","Guardrails "&amp;CHAR(10)&amp;$P238&amp;CHAR(10)&amp;CHAR(10),"")&amp;
IF($Q238&lt;&gt;"","Completion signals "&amp;CHAR(10)&amp;$Q238,"")</f>
        <v/>
      </c>
      <c r="S238" s="25"/>
      <c r="T238" s="25"/>
      <c r="U238" s="8"/>
      <c r="V238" s="8" t="str">
        <f>_xlfn.SINGLE(IF($B238 = "", "", IF(_xlfn.SINGLE(_xlfn.TEXTJOIN(" | ", TRUE, IF($B238 = "", "Missing Title", ""), IF($C238 = "", "Missing Date", ""), IF($D238 = "", "Missing Start", ""), IF($E238 = "", "Missing End", ""), IF($G238 = "", "Missing Required Attendees", ""), IF($T238 = "", "Missing Status", ""), IF(AND($D238 &lt;&gt; "", $E238 &lt;&gt; "", $D238 &gt;= $E238), "Start&gt;=End", ""), IF(OR($R238 = "", LEN($R238) &lt; 60, ISNUMBER(MATCH(TRIM($R238), StatusList, 0))), "Body overwritten/short", ""))) = "", "OK", _xlfn.TEXTJOIN(" | ", TRUE, IF($B238 = "", "Missing Title", ""), IF($C238 = "", "Missing Date", ""), IF($D238 = "", "Missing Start", ""), IF($E238 = "", "Missing End", ""), IF($G238 = "", "Missing Required Attendees", ""), IF($T238 = "", "Missing Status", ""), IF(AND($D238 &lt;&gt; "", $E238 &lt;&gt; "", $D238 &gt;= $E238), "Start&gt;=End", ""), IF(OR($R238 = "", LEN($R238) &lt; 60, ISNUMBER(MATCH(TRIM($R238), StatusList, 0))), "Body overwritten/short", "")))))</f>
        <v/>
      </c>
    </row>
    <row r="239" spans="2:22" ht="12.75" customHeight="1">
      <c r="B239" s="25"/>
      <c r="C239" s="34"/>
      <c r="D239" s="38"/>
      <c r="E239" s="38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16" t="str">
        <f>IF($L239&lt;&gt;"","Purpose "&amp;CHAR(10)&amp;$L239&amp;CHAR(10)&amp;CHAR(10),"")&amp;
IF($M239&lt;&gt;"","Stops (in order) "&amp;CHAR(10)&amp;$M239&amp;CHAR(10)&amp;CHAR(10),"")&amp;
IF($N239&lt;&gt;"","To-Do (hard requirements) "&amp;CHAR(10)&amp;$N239&amp;CHAR(10)&amp;CHAR(10),"")&amp;
IF($O239&lt;&gt;"","Suggested Timeline "&amp;CHAR(10)&amp;$O239&amp;CHAR(10)&amp;CHAR(10),"")&amp;
IF($P239&lt;&gt;"","Guardrails "&amp;CHAR(10)&amp;$P239&amp;CHAR(10)&amp;CHAR(10),"")&amp;
IF($Q239&lt;&gt;"","Completion signals "&amp;CHAR(10)&amp;$Q239,"")</f>
        <v/>
      </c>
      <c r="S239" s="25"/>
      <c r="T239" s="25"/>
      <c r="U239" s="8"/>
      <c r="V239" s="8" t="str">
        <f>_xlfn.SINGLE(IF($B239 = "", "", IF(_xlfn.SINGLE(_xlfn.TEXTJOIN(" | ", TRUE, IF($B239 = "", "Missing Title", ""), IF($C239 = "", "Missing Date", ""), IF($D239 = "", "Missing Start", ""), IF($E239 = "", "Missing End", ""), IF($G239 = "", "Missing Required Attendees", ""), IF($T239 = "", "Missing Status", ""), IF(AND($D239 &lt;&gt; "", $E239 &lt;&gt; "", $D239 &gt;= $E239), "Start&gt;=End", ""), IF(OR($R239 = "", LEN($R239) &lt; 60, ISNUMBER(MATCH(TRIM($R239), StatusList, 0))), "Body overwritten/short", ""))) = "", "OK", _xlfn.TEXTJOIN(" | ", TRUE, IF($B239 = "", "Missing Title", ""), IF($C239 = "", "Missing Date", ""), IF($D239 = "", "Missing Start", ""), IF($E239 = "", "Missing End", ""), IF($G239 = "", "Missing Required Attendees", ""), IF($T239 = "", "Missing Status", ""), IF(AND($D239 &lt;&gt; "", $E239 &lt;&gt; "", $D239 &gt;= $E239), "Start&gt;=End", ""), IF(OR($R239 = "", LEN($R239) &lt; 60, ISNUMBER(MATCH(TRIM($R239), StatusList, 0))), "Body overwritten/short", "")))))</f>
        <v/>
      </c>
    </row>
    <row r="240" spans="2:22" ht="12.75" customHeight="1">
      <c r="B240" s="25"/>
      <c r="C240" s="34"/>
      <c r="D240" s="38"/>
      <c r="E240" s="38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16" t="str">
        <f>IF($L240&lt;&gt;"","Purpose "&amp;CHAR(10)&amp;$L240&amp;CHAR(10)&amp;CHAR(10),"")&amp;
IF($M240&lt;&gt;"","Stops (in order) "&amp;CHAR(10)&amp;$M240&amp;CHAR(10)&amp;CHAR(10),"")&amp;
IF($N240&lt;&gt;"","To-Do (hard requirements) "&amp;CHAR(10)&amp;$N240&amp;CHAR(10)&amp;CHAR(10),"")&amp;
IF($O240&lt;&gt;"","Suggested Timeline "&amp;CHAR(10)&amp;$O240&amp;CHAR(10)&amp;CHAR(10),"")&amp;
IF($P240&lt;&gt;"","Guardrails "&amp;CHAR(10)&amp;$P240&amp;CHAR(10)&amp;CHAR(10),"")&amp;
IF($Q240&lt;&gt;"","Completion signals "&amp;CHAR(10)&amp;$Q240,"")</f>
        <v/>
      </c>
      <c r="S240" s="25"/>
      <c r="T240" s="25"/>
      <c r="U240" s="8"/>
      <c r="V240" s="8" t="str">
        <f>_xlfn.SINGLE(IF($B240 = "", "", IF(_xlfn.SINGLE(_xlfn.TEXTJOIN(" | ", TRUE, IF($B240 = "", "Missing Title", ""), IF($C240 = "", "Missing Date", ""), IF($D240 = "", "Missing Start", ""), IF($E240 = "", "Missing End", ""), IF($G240 = "", "Missing Required Attendees", ""), IF($T240 = "", "Missing Status", ""), IF(AND($D240 &lt;&gt; "", $E240 &lt;&gt; "", $D240 &gt;= $E240), "Start&gt;=End", ""), IF(OR($R240 = "", LEN($R240) &lt; 60, ISNUMBER(MATCH(TRIM($R240), StatusList, 0))), "Body overwritten/short", ""))) = "", "OK", _xlfn.TEXTJOIN(" | ", TRUE, IF($B240 = "", "Missing Title", ""), IF($C240 = "", "Missing Date", ""), IF($D240 = "", "Missing Start", ""), IF($E240 = "", "Missing End", ""), IF($G240 = "", "Missing Required Attendees", ""), IF($T240 = "", "Missing Status", ""), IF(AND($D240 &lt;&gt; "", $E240 &lt;&gt; "", $D240 &gt;= $E240), "Start&gt;=End", ""), IF(OR($R240 = "", LEN($R240) &lt; 60, ISNUMBER(MATCH(TRIM($R240), StatusList, 0))), "Body overwritten/short", "")))))</f>
        <v/>
      </c>
    </row>
    <row r="241" spans="2:22" ht="12.75" customHeight="1">
      <c r="B241" s="25"/>
      <c r="C241" s="34"/>
      <c r="D241" s="38"/>
      <c r="E241" s="38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16" t="str">
        <f>IF($L241&lt;&gt;"","Purpose "&amp;CHAR(10)&amp;$L241&amp;CHAR(10)&amp;CHAR(10),"")&amp;
IF($M241&lt;&gt;"","Stops (in order) "&amp;CHAR(10)&amp;$M241&amp;CHAR(10)&amp;CHAR(10),"")&amp;
IF($N241&lt;&gt;"","To-Do (hard requirements) "&amp;CHAR(10)&amp;$N241&amp;CHAR(10)&amp;CHAR(10),"")&amp;
IF($O241&lt;&gt;"","Suggested Timeline "&amp;CHAR(10)&amp;$O241&amp;CHAR(10)&amp;CHAR(10),"")&amp;
IF($P241&lt;&gt;"","Guardrails "&amp;CHAR(10)&amp;$P241&amp;CHAR(10)&amp;CHAR(10),"")&amp;
IF($Q241&lt;&gt;"","Completion signals "&amp;CHAR(10)&amp;$Q241,"")</f>
        <v/>
      </c>
      <c r="S241" s="25"/>
      <c r="T241" s="25"/>
      <c r="U241" s="8"/>
      <c r="V241" s="8" t="str">
        <f>_xlfn.SINGLE(IF($B241 = "", "", IF(_xlfn.SINGLE(_xlfn.TEXTJOIN(" | ", TRUE, IF($B241 = "", "Missing Title", ""), IF($C241 = "", "Missing Date", ""), IF($D241 = "", "Missing Start", ""), IF($E241 = "", "Missing End", ""), IF($G241 = "", "Missing Required Attendees", ""), IF($T241 = "", "Missing Status", ""), IF(AND($D241 &lt;&gt; "", $E241 &lt;&gt; "", $D241 &gt;= $E241), "Start&gt;=End", ""), IF(OR($R241 = "", LEN($R241) &lt; 60, ISNUMBER(MATCH(TRIM($R241), StatusList, 0))), "Body overwritten/short", ""))) = "", "OK", _xlfn.TEXTJOIN(" | ", TRUE, IF($B241 = "", "Missing Title", ""), IF($C241 = "", "Missing Date", ""), IF($D241 = "", "Missing Start", ""), IF($E241 = "", "Missing End", ""), IF($G241 = "", "Missing Required Attendees", ""), IF($T241 = "", "Missing Status", ""), IF(AND($D241 &lt;&gt; "", $E241 &lt;&gt; "", $D241 &gt;= $E241), "Start&gt;=End", ""), IF(OR($R241 = "", LEN($R241) &lt; 60, ISNUMBER(MATCH(TRIM($R241), StatusList, 0))), "Body overwritten/short", "")))))</f>
        <v/>
      </c>
    </row>
    <row r="242" spans="2:22" ht="12.75" customHeight="1">
      <c r="B242" s="25"/>
      <c r="C242" s="34"/>
      <c r="D242" s="38"/>
      <c r="E242" s="38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16" t="str">
        <f>IF($L242&lt;&gt;"","Purpose "&amp;CHAR(10)&amp;$L242&amp;CHAR(10)&amp;CHAR(10),"")&amp;
IF($M242&lt;&gt;"","Stops (in order) "&amp;CHAR(10)&amp;$M242&amp;CHAR(10)&amp;CHAR(10),"")&amp;
IF($N242&lt;&gt;"","To-Do (hard requirements) "&amp;CHAR(10)&amp;$N242&amp;CHAR(10)&amp;CHAR(10),"")&amp;
IF($O242&lt;&gt;"","Suggested Timeline "&amp;CHAR(10)&amp;$O242&amp;CHAR(10)&amp;CHAR(10),"")&amp;
IF($P242&lt;&gt;"","Guardrails "&amp;CHAR(10)&amp;$P242&amp;CHAR(10)&amp;CHAR(10),"")&amp;
IF($Q242&lt;&gt;"","Completion signals "&amp;CHAR(10)&amp;$Q242,"")</f>
        <v/>
      </c>
      <c r="S242" s="25"/>
      <c r="T242" s="25"/>
      <c r="U242" s="8"/>
      <c r="V242" s="8" t="str">
        <f>_xlfn.SINGLE(IF($B242 = "", "", IF(_xlfn.SINGLE(_xlfn.TEXTJOIN(" | ", TRUE, IF($B242 = "", "Missing Title", ""), IF($C242 = "", "Missing Date", ""), IF($D242 = "", "Missing Start", ""), IF($E242 = "", "Missing End", ""), IF($G242 = "", "Missing Required Attendees", ""), IF($T242 = "", "Missing Status", ""), IF(AND($D242 &lt;&gt; "", $E242 &lt;&gt; "", $D242 &gt;= $E242), "Start&gt;=End", ""), IF(OR($R242 = "", LEN($R242) &lt; 60, ISNUMBER(MATCH(TRIM($R242), StatusList, 0))), "Body overwritten/short", ""))) = "", "OK", _xlfn.TEXTJOIN(" | ", TRUE, IF($B242 = "", "Missing Title", ""), IF($C242 = "", "Missing Date", ""), IF($D242 = "", "Missing Start", ""), IF($E242 = "", "Missing End", ""), IF($G242 = "", "Missing Required Attendees", ""), IF($T242 = "", "Missing Status", ""), IF(AND($D242 &lt;&gt; "", $E242 &lt;&gt; "", $D242 &gt;= $E242), "Start&gt;=End", ""), IF(OR($R242 = "", LEN($R242) &lt; 60, ISNUMBER(MATCH(TRIM($R242), StatusList, 0))), "Body overwritten/short", "")))))</f>
        <v/>
      </c>
    </row>
    <row r="243" spans="2:22" ht="12.75" customHeight="1">
      <c r="B243" s="25"/>
      <c r="C243" s="34"/>
      <c r="D243" s="38"/>
      <c r="E243" s="38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16" t="str">
        <f>IF($L243&lt;&gt;"","Purpose "&amp;CHAR(10)&amp;$L243&amp;CHAR(10)&amp;CHAR(10),"")&amp;
IF($M243&lt;&gt;"","Stops (in order) "&amp;CHAR(10)&amp;$M243&amp;CHAR(10)&amp;CHAR(10),"")&amp;
IF($N243&lt;&gt;"","To-Do (hard requirements) "&amp;CHAR(10)&amp;$N243&amp;CHAR(10)&amp;CHAR(10),"")&amp;
IF($O243&lt;&gt;"","Suggested Timeline "&amp;CHAR(10)&amp;$O243&amp;CHAR(10)&amp;CHAR(10),"")&amp;
IF($P243&lt;&gt;"","Guardrails "&amp;CHAR(10)&amp;$P243&amp;CHAR(10)&amp;CHAR(10),"")&amp;
IF($Q243&lt;&gt;"","Completion signals "&amp;CHAR(10)&amp;$Q243,"")</f>
        <v/>
      </c>
      <c r="S243" s="25"/>
      <c r="T243" s="25"/>
      <c r="U243" s="8"/>
      <c r="V243" s="8" t="str">
        <f>_xlfn.SINGLE(IF($B243 = "", "", IF(_xlfn.SINGLE(_xlfn.TEXTJOIN(" | ", TRUE, IF($B243 = "", "Missing Title", ""), IF($C243 = "", "Missing Date", ""), IF($D243 = "", "Missing Start", ""), IF($E243 = "", "Missing End", ""), IF($G243 = "", "Missing Required Attendees", ""), IF($T243 = "", "Missing Status", ""), IF(AND($D243 &lt;&gt; "", $E243 &lt;&gt; "", $D243 &gt;= $E243), "Start&gt;=End", ""), IF(OR($R243 = "", LEN($R243) &lt; 60, ISNUMBER(MATCH(TRIM($R243), StatusList, 0))), "Body overwritten/short", ""))) = "", "OK", _xlfn.TEXTJOIN(" | ", TRUE, IF($B243 = "", "Missing Title", ""), IF($C243 = "", "Missing Date", ""), IF($D243 = "", "Missing Start", ""), IF($E243 = "", "Missing End", ""), IF($G243 = "", "Missing Required Attendees", ""), IF($T243 = "", "Missing Status", ""), IF(AND($D243 &lt;&gt; "", $E243 &lt;&gt; "", $D243 &gt;= $E243), "Start&gt;=End", ""), IF(OR($R243 = "", LEN($R243) &lt; 60, ISNUMBER(MATCH(TRIM($R243), StatusList, 0))), "Body overwritten/short", "")))))</f>
        <v/>
      </c>
    </row>
    <row r="244" spans="2:22" ht="12.75" customHeight="1">
      <c r="B244" s="25"/>
      <c r="C244" s="34"/>
      <c r="D244" s="38"/>
      <c r="E244" s="38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16" t="str">
        <f>IF($L244&lt;&gt;"","Purpose "&amp;CHAR(10)&amp;$L244&amp;CHAR(10)&amp;CHAR(10),"")&amp;
IF($M244&lt;&gt;"","Stops (in order) "&amp;CHAR(10)&amp;$M244&amp;CHAR(10)&amp;CHAR(10),"")&amp;
IF($N244&lt;&gt;"","To-Do (hard requirements) "&amp;CHAR(10)&amp;$N244&amp;CHAR(10)&amp;CHAR(10),"")&amp;
IF($O244&lt;&gt;"","Suggested Timeline "&amp;CHAR(10)&amp;$O244&amp;CHAR(10)&amp;CHAR(10),"")&amp;
IF($P244&lt;&gt;"","Guardrails "&amp;CHAR(10)&amp;$P244&amp;CHAR(10)&amp;CHAR(10),"")&amp;
IF($Q244&lt;&gt;"","Completion signals "&amp;CHAR(10)&amp;$Q244,"")</f>
        <v/>
      </c>
      <c r="S244" s="25"/>
      <c r="T244" s="25"/>
      <c r="U244" s="8"/>
      <c r="V244" s="8" t="str">
        <f>_xlfn.SINGLE(IF($B244 = "", "", IF(_xlfn.SINGLE(_xlfn.TEXTJOIN(" | ", TRUE, IF($B244 = "", "Missing Title", ""), IF($C244 = "", "Missing Date", ""), IF($D244 = "", "Missing Start", ""), IF($E244 = "", "Missing End", ""), IF($G244 = "", "Missing Required Attendees", ""), IF($T244 = "", "Missing Status", ""), IF(AND($D244 &lt;&gt; "", $E244 &lt;&gt; "", $D244 &gt;= $E244), "Start&gt;=End", ""), IF(OR($R244 = "", LEN($R244) &lt; 60, ISNUMBER(MATCH(TRIM($R244), StatusList, 0))), "Body overwritten/short", ""))) = "", "OK", _xlfn.TEXTJOIN(" | ", TRUE, IF($B244 = "", "Missing Title", ""), IF($C244 = "", "Missing Date", ""), IF($D244 = "", "Missing Start", ""), IF($E244 = "", "Missing End", ""), IF($G244 = "", "Missing Required Attendees", ""), IF($T244 = "", "Missing Status", ""), IF(AND($D244 &lt;&gt; "", $E244 &lt;&gt; "", $D244 &gt;= $E244), "Start&gt;=End", ""), IF(OR($R244 = "", LEN($R244) &lt; 60, ISNUMBER(MATCH(TRIM($R244), StatusList, 0))), "Body overwritten/short", "")))))</f>
        <v/>
      </c>
    </row>
    <row r="245" spans="2:22" ht="12.75" customHeight="1">
      <c r="B245" s="25"/>
      <c r="C245" s="34"/>
      <c r="D245" s="38"/>
      <c r="E245" s="38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16" t="str">
        <f>IF($L245&lt;&gt;"","Purpose "&amp;CHAR(10)&amp;$L245&amp;CHAR(10)&amp;CHAR(10),"")&amp;
IF($M245&lt;&gt;"","Stops (in order) "&amp;CHAR(10)&amp;$M245&amp;CHAR(10)&amp;CHAR(10),"")&amp;
IF($N245&lt;&gt;"","To-Do (hard requirements) "&amp;CHAR(10)&amp;$N245&amp;CHAR(10)&amp;CHAR(10),"")&amp;
IF($O245&lt;&gt;"","Suggested Timeline "&amp;CHAR(10)&amp;$O245&amp;CHAR(10)&amp;CHAR(10),"")&amp;
IF($P245&lt;&gt;"","Guardrails "&amp;CHAR(10)&amp;$P245&amp;CHAR(10)&amp;CHAR(10),"")&amp;
IF($Q245&lt;&gt;"","Completion signals "&amp;CHAR(10)&amp;$Q245,"")</f>
        <v/>
      </c>
      <c r="S245" s="25"/>
      <c r="T245" s="25"/>
      <c r="U245" s="8"/>
      <c r="V245" s="8" t="str">
        <f>_xlfn.SINGLE(IF($B245 = "", "", IF(_xlfn.SINGLE(_xlfn.TEXTJOIN(" | ", TRUE, IF($B245 = "", "Missing Title", ""), IF($C245 = "", "Missing Date", ""), IF($D245 = "", "Missing Start", ""), IF($E245 = "", "Missing End", ""), IF($G245 = "", "Missing Required Attendees", ""), IF($T245 = "", "Missing Status", ""), IF(AND($D245 &lt;&gt; "", $E245 &lt;&gt; "", $D245 &gt;= $E245), "Start&gt;=End", ""), IF(OR($R245 = "", LEN($R245) &lt; 60, ISNUMBER(MATCH(TRIM($R245), StatusList, 0))), "Body overwritten/short", ""))) = "", "OK", _xlfn.TEXTJOIN(" | ", TRUE, IF($B245 = "", "Missing Title", ""), IF($C245 = "", "Missing Date", ""), IF($D245 = "", "Missing Start", ""), IF($E245 = "", "Missing End", ""), IF($G245 = "", "Missing Required Attendees", ""), IF($T245 = "", "Missing Status", ""), IF(AND($D245 &lt;&gt; "", $E245 &lt;&gt; "", $D245 &gt;= $E245), "Start&gt;=End", ""), IF(OR($R245 = "", LEN($R245) &lt; 60, ISNUMBER(MATCH(TRIM($R245), StatusList, 0))), "Body overwritten/short", "")))))</f>
        <v/>
      </c>
    </row>
    <row r="246" spans="2:22" ht="12.75" customHeight="1">
      <c r="B246" s="25"/>
      <c r="C246" s="34"/>
      <c r="D246" s="38"/>
      <c r="E246" s="38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16" t="str">
        <f>IF($L246&lt;&gt;"","Purpose "&amp;CHAR(10)&amp;$L246&amp;CHAR(10)&amp;CHAR(10),"")&amp;
IF($M246&lt;&gt;"","Stops (in order) "&amp;CHAR(10)&amp;$M246&amp;CHAR(10)&amp;CHAR(10),"")&amp;
IF($N246&lt;&gt;"","To-Do (hard requirements) "&amp;CHAR(10)&amp;$N246&amp;CHAR(10)&amp;CHAR(10),"")&amp;
IF($O246&lt;&gt;"","Suggested Timeline "&amp;CHAR(10)&amp;$O246&amp;CHAR(10)&amp;CHAR(10),"")&amp;
IF($P246&lt;&gt;"","Guardrails "&amp;CHAR(10)&amp;$P246&amp;CHAR(10)&amp;CHAR(10),"")&amp;
IF($Q246&lt;&gt;"","Completion signals "&amp;CHAR(10)&amp;$Q246,"")</f>
        <v/>
      </c>
      <c r="S246" s="25"/>
      <c r="T246" s="25"/>
      <c r="U246" s="8"/>
      <c r="V246" s="8" t="str">
        <f>_xlfn.SINGLE(IF($B246 = "", "", IF(_xlfn.SINGLE(_xlfn.TEXTJOIN(" | ", TRUE, IF($B246 = "", "Missing Title", ""), IF($C246 = "", "Missing Date", ""), IF($D246 = "", "Missing Start", ""), IF($E246 = "", "Missing End", ""), IF($G246 = "", "Missing Required Attendees", ""), IF($T246 = "", "Missing Status", ""), IF(AND($D246 &lt;&gt; "", $E246 &lt;&gt; "", $D246 &gt;= $E246), "Start&gt;=End", ""), IF(OR($R246 = "", LEN($R246) &lt; 60, ISNUMBER(MATCH(TRIM($R246), StatusList, 0))), "Body overwritten/short", ""))) = "", "OK", _xlfn.TEXTJOIN(" | ", TRUE, IF($B246 = "", "Missing Title", ""), IF($C246 = "", "Missing Date", ""), IF($D246 = "", "Missing Start", ""), IF($E246 = "", "Missing End", ""), IF($G246 = "", "Missing Required Attendees", ""), IF($T246 = "", "Missing Status", ""), IF(AND($D246 &lt;&gt; "", $E246 &lt;&gt; "", $D246 &gt;= $E246), "Start&gt;=End", ""), IF(OR($R246 = "", LEN($R246) &lt; 60, ISNUMBER(MATCH(TRIM($R246), StatusList, 0))), "Body overwritten/short", "")))))</f>
        <v/>
      </c>
    </row>
    <row r="247" spans="2:22" ht="12.75" customHeight="1">
      <c r="B247" s="25"/>
      <c r="C247" s="34"/>
      <c r="D247" s="38"/>
      <c r="E247" s="38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16" t="str">
        <f>IF($L247&lt;&gt;"","Purpose "&amp;CHAR(10)&amp;$L247&amp;CHAR(10)&amp;CHAR(10),"")&amp;
IF($M247&lt;&gt;"","Stops (in order) "&amp;CHAR(10)&amp;$M247&amp;CHAR(10)&amp;CHAR(10),"")&amp;
IF($N247&lt;&gt;"","To-Do (hard requirements) "&amp;CHAR(10)&amp;$N247&amp;CHAR(10)&amp;CHAR(10),"")&amp;
IF($O247&lt;&gt;"","Suggested Timeline "&amp;CHAR(10)&amp;$O247&amp;CHAR(10)&amp;CHAR(10),"")&amp;
IF($P247&lt;&gt;"","Guardrails "&amp;CHAR(10)&amp;$P247&amp;CHAR(10)&amp;CHAR(10),"")&amp;
IF($Q247&lt;&gt;"","Completion signals "&amp;CHAR(10)&amp;$Q247,"")</f>
        <v/>
      </c>
      <c r="S247" s="25"/>
      <c r="T247" s="25"/>
      <c r="U247" s="8"/>
      <c r="V247" s="8" t="str">
        <f>_xlfn.SINGLE(IF($B247 = "", "", IF(_xlfn.SINGLE(_xlfn.TEXTJOIN(" | ", TRUE, IF($B247 = "", "Missing Title", ""), IF($C247 = "", "Missing Date", ""), IF($D247 = "", "Missing Start", ""), IF($E247 = "", "Missing End", ""), IF($G247 = "", "Missing Required Attendees", ""), IF($T247 = "", "Missing Status", ""), IF(AND($D247 &lt;&gt; "", $E247 &lt;&gt; "", $D247 &gt;= $E247), "Start&gt;=End", ""), IF(OR($R247 = "", LEN($R247) &lt; 60, ISNUMBER(MATCH(TRIM($R247), StatusList, 0))), "Body overwritten/short", ""))) = "", "OK", _xlfn.TEXTJOIN(" | ", TRUE, IF($B247 = "", "Missing Title", ""), IF($C247 = "", "Missing Date", ""), IF($D247 = "", "Missing Start", ""), IF($E247 = "", "Missing End", ""), IF($G247 = "", "Missing Required Attendees", ""), IF($T247 = "", "Missing Status", ""), IF(AND($D247 &lt;&gt; "", $E247 &lt;&gt; "", $D247 &gt;= $E247), "Start&gt;=End", ""), IF(OR($R247 = "", LEN($R247) &lt; 60, ISNUMBER(MATCH(TRIM($R247), StatusList, 0))), "Body overwritten/short", "")))))</f>
        <v/>
      </c>
    </row>
    <row r="248" spans="2:22" ht="12.75" customHeight="1">
      <c r="B248" s="25"/>
      <c r="C248" s="34"/>
      <c r="D248" s="38"/>
      <c r="E248" s="38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16" t="str">
        <f>IF($L248&lt;&gt;"","Purpose "&amp;CHAR(10)&amp;$L248&amp;CHAR(10)&amp;CHAR(10),"")&amp;
IF($M248&lt;&gt;"","Stops (in order) "&amp;CHAR(10)&amp;$M248&amp;CHAR(10)&amp;CHAR(10),"")&amp;
IF($N248&lt;&gt;"","To-Do (hard requirements) "&amp;CHAR(10)&amp;$N248&amp;CHAR(10)&amp;CHAR(10),"")&amp;
IF($O248&lt;&gt;"","Suggested Timeline "&amp;CHAR(10)&amp;$O248&amp;CHAR(10)&amp;CHAR(10),"")&amp;
IF($P248&lt;&gt;"","Guardrails "&amp;CHAR(10)&amp;$P248&amp;CHAR(10)&amp;CHAR(10),"")&amp;
IF($Q248&lt;&gt;"","Completion signals "&amp;CHAR(10)&amp;$Q248,"")</f>
        <v/>
      </c>
      <c r="S248" s="25"/>
      <c r="T248" s="25"/>
      <c r="U248" s="8"/>
      <c r="V248" s="8" t="str">
        <f>_xlfn.SINGLE(IF($B248 = "", "", IF(_xlfn.SINGLE(_xlfn.TEXTJOIN(" | ", TRUE, IF($B248 = "", "Missing Title", ""), IF($C248 = "", "Missing Date", ""), IF($D248 = "", "Missing Start", ""), IF($E248 = "", "Missing End", ""), IF($G248 = "", "Missing Required Attendees", ""), IF($T248 = "", "Missing Status", ""), IF(AND($D248 &lt;&gt; "", $E248 &lt;&gt; "", $D248 &gt;= $E248), "Start&gt;=End", ""), IF(OR($R248 = "", LEN($R248) &lt; 60, ISNUMBER(MATCH(TRIM($R248), StatusList, 0))), "Body overwritten/short", ""))) = "", "OK", _xlfn.TEXTJOIN(" | ", TRUE, IF($B248 = "", "Missing Title", ""), IF($C248 = "", "Missing Date", ""), IF($D248 = "", "Missing Start", ""), IF($E248 = "", "Missing End", ""), IF($G248 = "", "Missing Required Attendees", ""), IF($T248 = "", "Missing Status", ""), IF(AND($D248 &lt;&gt; "", $E248 &lt;&gt; "", $D248 &gt;= $E248), "Start&gt;=End", ""), IF(OR($R248 = "", LEN($R248) &lt; 60, ISNUMBER(MATCH(TRIM($R248), StatusList, 0))), "Body overwritten/short", "")))))</f>
        <v/>
      </c>
    </row>
    <row r="249" spans="2:22" ht="12.75" customHeight="1">
      <c r="B249" s="25"/>
      <c r="C249" s="34"/>
      <c r="D249" s="38"/>
      <c r="E249" s="38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16" t="str">
        <f>IF($L249&lt;&gt;"","Purpose "&amp;CHAR(10)&amp;$L249&amp;CHAR(10)&amp;CHAR(10),"")&amp;
IF($M249&lt;&gt;"","Stops (in order) "&amp;CHAR(10)&amp;$M249&amp;CHAR(10)&amp;CHAR(10),"")&amp;
IF($N249&lt;&gt;"","To-Do (hard requirements) "&amp;CHAR(10)&amp;$N249&amp;CHAR(10)&amp;CHAR(10),"")&amp;
IF($O249&lt;&gt;"","Suggested Timeline "&amp;CHAR(10)&amp;$O249&amp;CHAR(10)&amp;CHAR(10),"")&amp;
IF($P249&lt;&gt;"","Guardrails "&amp;CHAR(10)&amp;$P249&amp;CHAR(10)&amp;CHAR(10),"")&amp;
IF($Q249&lt;&gt;"","Completion signals "&amp;CHAR(10)&amp;$Q249,"")</f>
        <v/>
      </c>
      <c r="S249" s="25"/>
      <c r="T249" s="25"/>
      <c r="U249" s="8"/>
      <c r="V249" s="8" t="str">
        <f>_xlfn.SINGLE(IF($B249 = "", "", IF(_xlfn.SINGLE(_xlfn.TEXTJOIN(" | ", TRUE, IF($B249 = "", "Missing Title", ""), IF($C249 = "", "Missing Date", ""), IF($D249 = "", "Missing Start", ""), IF($E249 = "", "Missing End", ""), IF($G249 = "", "Missing Required Attendees", ""), IF($T249 = "", "Missing Status", ""), IF(AND($D249 &lt;&gt; "", $E249 &lt;&gt; "", $D249 &gt;= $E249), "Start&gt;=End", ""), IF(OR($R249 = "", LEN($R249) &lt; 60, ISNUMBER(MATCH(TRIM($R249), StatusList, 0))), "Body overwritten/short", ""))) = "", "OK", _xlfn.TEXTJOIN(" | ", TRUE, IF($B249 = "", "Missing Title", ""), IF($C249 = "", "Missing Date", ""), IF($D249 = "", "Missing Start", ""), IF($E249 = "", "Missing End", ""), IF($G249 = "", "Missing Required Attendees", ""), IF($T249 = "", "Missing Status", ""), IF(AND($D249 &lt;&gt; "", $E249 &lt;&gt; "", $D249 &gt;= $E249), "Start&gt;=End", ""), IF(OR($R249 = "", LEN($R249) &lt; 60, ISNUMBER(MATCH(TRIM($R249), StatusList, 0))), "Body overwritten/short", "")))))</f>
        <v/>
      </c>
    </row>
    <row r="250" spans="2:22" ht="12.75" customHeight="1">
      <c r="B250" s="25"/>
      <c r="C250" s="34"/>
      <c r="D250" s="38"/>
      <c r="E250" s="38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16" t="str">
        <f>IF($L250&lt;&gt;"","Purpose "&amp;CHAR(10)&amp;$L250&amp;CHAR(10)&amp;CHAR(10),"")&amp;
IF($M250&lt;&gt;"","Stops (in order) "&amp;CHAR(10)&amp;$M250&amp;CHAR(10)&amp;CHAR(10),"")&amp;
IF($N250&lt;&gt;"","To-Do (hard requirements) "&amp;CHAR(10)&amp;$N250&amp;CHAR(10)&amp;CHAR(10),"")&amp;
IF($O250&lt;&gt;"","Suggested Timeline "&amp;CHAR(10)&amp;$O250&amp;CHAR(10)&amp;CHAR(10),"")&amp;
IF($P250&lt;&gt;"","Guardrails "&amp;CHAR(10)&amp;$P250&amp;CHAR(10)&amp;CHAR(10),"")&amp;
IF($Q250&lt;&gt;"","Completion signals "&amp;CHAR(10)&amp;$Q250,"")</f>
        <v/>
      </c>
      <c r="S250" s="25"/>
      <c r="T250" s="25"/>
      <c r="U250" s="8"/>
      <c r="V250" s="8" t="str">
        <f>_xlfn.SINGLE(IF($B250 = "", "", IF(_xlfn.SINGLE(_xlfn.TEXTJOIN(" | ", TRUE, IF($B250 = "", "Missing Title", ""), IF($C250 = "", "Missing Date", ""), IF($D250 = "", "Missing Start", ""), IF($E250 = "", "Missing End", ""), IF($G250 = "", "Missing Required Attendees", ""), IF($T250 = "", "Missing Status", ""), IF(AND($D250 &lt;&gt; "", $E250 &lt;&gt; "", $D250 &gt;= $E250), "Start&gt;=End", ""), IF(OR($R250 = "", LEN($R250) &lt; 60, ISNUMBER(MATCH(TRIM($R250), StatusList, 0))), "Body overwritten/short", ""))) = "", "OK", _xlfn.TEXTJOIN(" | ", TRUE, IF($B250 = "", "Missing Title", ""), IF($C250 = "", "Missing Date", ""), IF($D250 = "", "Missing Start", ""), IF($E250 = "", "Missing End", ""), IF($G250 = "", "Missing Required Attendees", ""), IF($T250 = "", "Missing Status", ""), IF(AND($D250 &lt;&gt; "", $E250 &lt;&gt; "", $D250 &gt;= $E250), "Start&gt;=End", ""), IF(OR($R250 = "", LEN($R250) &lt; 60, ISNUMBER(MATCH(TRIM($R250), StatusList, 0))), "Body overwritten/short", "")))))</f>
        <v/>
      </c>
    </row>
    <row r="251" spans="2:22" ht="12.75" customHeight="1">
      <c r="B251" s="25"/>
      <c r="C251" s="34"/>
      <c r="D251" s="38"/>
      <c r="E251" s="38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16" t="str">
        <f>IF($L251&lt;&gt;"","Purpose "&amp;CHAR(10)&amp;$L251&amp;CHAR(10)&amp;CHAR(10),"")&amp;
IF($M251&lt;&gt;"","Stops (in order) "&amp;CHAR(10)&amp;$M251&amp;CHAR(10)&amp;CHAR(10),"")&amp;
IF($N251&lt;&gt;"","To-Do (hard requirements) "&amp;CHAR(10)&amp;$N251&amp;CHAR(10)&amp;CHAR(10),"")&amp;
IF($O251&lt;&gt;"","Suggested Timeline "&amp;CHAR(10)&amp;$O251&amp;CHAR(10)&amp;CHAR(10),"")&amp;
IF($P251&lt;&gt;"","Guardrails "&amp;CHAR(10)&amp;$P251&amp;CHAR(10)&amp;CHAR(10),"")&amp;
IF($Q251&lt;&gt;"","Completion signals "&amp;CHAR(10)&amp;$Q251,"")</f>
        <v/>
      </c>
      <c r="S251" s="25"/>
      <c r="T251" s="25"/>
      <c r="U251" s="8"/>
      <c r="V251" s="8" t="str">
        <f>_xlfn.SINGLE(IF($B251 = "", "", IF(_xlfn.SINGLE(_xlfn.TEXTJOIN(" | ", TRUE, IF($B251 = "", "Missing Title", ""), IF($C251 = "", "Missing Date", ""), IF($D251 = "", "Missing Start", ""), IF($E251 = "", "Missing End", ""), IF($G251 = "", "Missing Required Attendees", ""), IF($T251 = "", "Missing Status", ""), IF(AND($D251 &lt;&gt; "", $E251 &lt;&gt; "", $D251 &gt;= $E251), "Start&gt;=End", ""), IF(OR($R251 = "", LEN($R251) &lt; 60, ISNUMBER(MATCH(TRIM($R251), StatusList, 0))), "Body overwritten/short", ""))) = "", "OK", _xlfn.TEXTJOIN(" | ", TRUE, IF($B251 = "", "Missing Title", ""), IF($C251 = "", "Missing Date", ""), IF($D251 = "", "Missing Start", ""), IF($E251 = "", "Missing End", ""), IF($G251 = "", "Missing Required Attendees", ""), IF($T251 = "", "Missing Status", ""), IF(AND($D251 &lt;&gt; "", $E251 &lt;&gt; "", $D251 &gt;= $E251), "Start&gt;=End", ""), IF(OR($R251 = "", LEN($R251) &lt; 60, ISNUMBER(MATCH(TRIM($R251), StatusList, 0))), "Body overwritten/short", "")))))</f>
        <v/>
      </c>
    </row>
    <row r="252" spans="2:22" ht="12.75" customHeight="1">
      <c r="B252" s="25"/>
      <c r="C252" s="34"/>
      <c r="D252" s="38"/>
      <c r="E252" s="38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16" t="str">
        <f>IF($L252&lt;&gt;"","Purpose "&amp;CHAR(10)&amp;$L252&amp;CHAR(10)&amp;CHAR(10),"")&amp;
IF($M252&lt;&gt;"","Stops (in order) "&amp;CHAR(10)&amp;$M252&amp;CHAR(10)&amp;CHAR(10),"")&amp;
IF($N252&lt;&gt;"","To-Do (hard requirements) "&amp;CHAR(10)&amp;$N252&amp;CHAR(10)&amp;CHAR(10),"")&amp;
IF($O252&lt;&gt;"","Suggested Timeline "&amp;CHAR(10)&amp;$O252&amp;CHAR(10)&amp;CHAR(10),"")&amp;
IF($P252&lt;&gt;"","Guardrails "&amp;CHAR(10)&amp;$P252&amp;CHAR(10)&amp;CHAR(10),"")&amp;
IF($Q252&lt;&gt;"","Completion signals "&amp;CHAR(10)&amp;$Q252,"")</f>
        <v/>
      </c>
      <c r="S252" s="25"/>
      <c r="T252" s="25"/>
      <c r="U252" s="8"/>
      <c r="V252" s="8" t="str">
        <f>_xlfn.SINGLE(IF($B252 = "", "", IF(_xlfn.SINGLE(_xlfn.TEXTJOIN(" | ", TRUE, IF($B252 = "", "Missing Title", ""), IF($C252 = "", "Missing Date", ""), IF($D252 = "", "Missing Start", ""), IF($E252 = "", "Missing End", ""), IF($G252 = "", "Missing Required Attendees", ""), IF($T252 = "", "Missing Status", ""), IF(AND($D252 &lt;&gt; "", $E252 &lt;&gt; "", $D252 &gt;= $E252), "Start&gt;=End", ""), IF(OR($R252 = "", LEN($R252) &lt; 60, ISNUMBER(MATCH(TRIM($R252), StatusList, 0))), "Body overwritten/short", ""))) = "", "OK", _xlfn.TEXTJOIN(" | ", TRUE, IF($B252 = "", "Missing Title", ""), IF($C252 = "", "Missing Date", ""), IF($D252 = "", "Missing Start", ""), IF($E252 = "", "Missing End", ""), IF($G252 = "", "Missing Required Attendees", ""), IF($T252 = "", "Missing Status", ""), IF(AND($D252 &lt;&gt; "", $E252 &lt;&gt; "", $D252 &gt;= $E252), "Start&gt;=End", ""), IF(OR($R252 = "", LEN($R252) &lt; 60, ISNUMBER(MATCH(TRIM($R252), StatusList, 0))), "Body overwritten/short", "")))))</f>
        <v/>
      </c>
    </row>
    <row r="253" spans="2:22" ht="12.75" customHeight="1">
      <c r="B253" s="25"/>
      <c r="C253" s="34"/>
      <c r="D253" s="38"/>
      <c r="E253" s="38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16" t="str">
        <f>IF($L253&lt;&gt;"","Purpose "&amp;CHAR(10)&amp;$L253&amp;CHAR(10)&amp;CHAR(10),"")&amp;
IF($M253&lt;&gt;"","Stops (in order) "&amp;CHAR(10)&amp;$M253&amp;CHAR(10)&amp;CHAR(10),"")&amp;
IF($N253&lt;&gt;"","To-Do (hard requirements) "&amp;CHAR(10)&amp;$N253&amp;CHAR(10)&amp;CHAR(10),"")&amp;
IF($O253&lt;&gt;"","Suggested Timeline "&amp;CHAR(10)&amp;$O253&amp;CHAR(10)&amp;CHAR(10),"")&amp;
IF($P253&lt;&gt;"","Guardrails "&amp;CHAR(10)&amp;$P253&amp;CHAR(10)&amp;CHAR(10),"")&amp;
IF($Q253&lt;&gt;"","Completion signals "&amp;CHAR(10)&amp;$Q253,"")</f>
        <v/>
      </c>
      <c r="S253" s="25"/>
      <c r="T253" s="25"/>
      <c r="U253" s="8"/>
      <c r="V253" s="8" t="str">
        <f>_xlfn.SINGLE(IF($B253 = "", "", IF(_xlfn.SINGLE(_xlfn.TEXTJOIN(" | ", TRUE, IF($B253 = "", "Missing Title", ""), IF($C253 = "", "Missing Date", ""), IF($D253 = "", "Missing Start", ""), IF($E253 = "", "Missing End", ""), IF($G253 = "", "Missing Required Attendees", ""), IF($T253 = "", "Missing Status", ""), IF(AND($D253 &lt;&gt; "", $E253 &lt;&gt; "", $D253 &gt;= $E253), "Start&gt;=End", ""), IF(OR($R253 = "", LEN($R253) &lt; 60, ISNUMBER(MATCH(TRIM($R253), StatusList, 0))), "Body overwritten/short", ""))) = "", "OK", _xlfn.TEXTJOIN(" | ", TRUE, IF($B253 = "", "Missing Title", ""), IF($C253 = "", "Missing Date", ""), IF($D253 = "", "Missing Start", ""), IF($E253 = "", "Missing End", ""), IF($G253 = "", "Missing Required Attendees", ""), IF($T253 = "", "Missing Status", ""), IF(AND($D253 &lt;&gt; "", $E253 &lt;&gt; "", $D253 &gt;= $E253), "Start&gt;=End", ""), IF(OR($R253 = "", LEN($R253) &lt; 60, ISNUMBER(MATCH(TRIM($R253), StatusList, 0))), "Body overwritten/short", "")))))</f>
        <v/>
      </c>
    </row>
    <row r="254" spans="2:22" ht="12.75" customHeight="1">
      <c r="B254" s="25"/>
      <c r="C254" s="34"/>
      <c r="D254" s="38"/>
      <c r="E254" s="38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16" t="str">
        <f>IF($L254&lt;&gt;"","Purpose "&amp;CHAR(10)&amp;$L254&amp;CHAR(10)&amp;CHAR(10),"")&amp;
IF($M254&lt;&gt;"","Stops (in order) "&amp;CHAR(10)&amp;$M254&amp;CHAR(10)&amp;CHAR(10),"")&amp;
IF($N254&lt;&gt;"","To-Do (hard requirements) "&amp;CHAR(10)&amp;$N254&amp;CHAR(10)&amp;CHAR(10),"")&amp;
IF($O254&lt;&gt;"","Suggested Timeline "&amp;CHAR(10)&amp;$O254&amp;CHAR(10)&amp;CHAR(10),"")&amp;
IF($P254&lt;&gt;"","Guardrails "&amp;CHAR(10)&amp;$P254&amp;CHAR(10)&amp;CHAR(10),"")&amp;
IF($Q254&lt;&gt;"","Completion signals "&amp;CHAR(10)&amp;$Q254,"")</f>
        <v/>
      </c>
      <c r="S254" s="25"/>
      <c r="T254" s="25"/>
      <c r="U254" s="8"/>
      <c r="V254" s="8" t="str">
        <f>_xlfn.SINGLE(IF($B254 = "", "", IF(_xlfn.SINGLE(_xlfn.TEXTJOIN(" | ", TRUE, IF($B254 = "", "Missing Title", ""), IF($C254 = "", "Missing Date", ""), IF($D254 = "", "Missing Start", ""), IF($E254 = "", "Missing End", ""), IF($G254 = "", "Missing Required Attendees", ""), IF($T254 = "", "Missing Status", ""), IF(AND($D254 &lt;&gt; "", $E254 &lt;&gt; "", $D254 &gt;= $E254), "Start&gt;=End", ""), IF(OR($R254 = "", LEN($R254) &lt; 60, ISNUMBER(MATCH(TRIM($R254), StatusList, 0))), "Body overwritten/short", ""))) = "", "OK", _xlfn.TEXTJOIN(" | ", TRUE, IF($B254 = "", "Missing Title", ""), IF($C254 = "", "Missing Date", ""), IF($D254 = "", "Missing Start", ""), IF($E254 = "", "Missing End", ""), IF($G254 = "", "Missing Required Attendees", ""), IF($T254 = "", "Missing Status", ""), IF(AND($D254 &lt;&gt; "", $E254 &lt;&gt; "", $D254 &gt;= $E254), "Start&gt;=End", ""), IF(OR($R254 = "", LEN($R254) &lt; 60, ISNUMBER(MATCH(TRIM($R254), StatusList, 0))), "Body overwritten/short", "")))))</f>
        <v/>
      </c>
    </row>
    <row r="255" spans="2:22" ht="12.75" customHeight="1">
      <c r="B255" s="25"/>
      <c r="C255" s="34"/>
      <c r="D255" s="38"/>
      <c r="E255" s="38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16" t="str">
        <f>IF($L255&lt;&gt;"","Purpose "&amp;CHAR(10)&amp;$L255&amp;CHAR(10)&amp;CHAR(10),"")&amp;
IF($M255&lt;&gt;"","Stops (in order) "&amp;CHAR(10)&amp;$M255&amp;CHAR(10)&amp;CHAR(10),"")&amp;
IF($N255&lt;&gt;"","To-Do (hard requirements) "&amp;CHAR(10)&amp;$N255&amp;CHAR(10)&amp;CHAR(10),"")&amp;
IF($O255&lt;&gt;"","Suggested Timeline "&amp;CHAR(10)&amp;$O255&amp;CHAR(10)&amp;CHAR(10),"")&amp;
IF($P255&lt;&gt;"","Guardrails "&amp;CHAR(10)&amp;$P255&amp;CHAR(10)&amp;CHAR(10),"")&amp;
IF($Q255&lt;&gt;"","Completion signals "&amp;CHAR(10)&amp;$Q255,"")</f>
        <v/>
      </c>
      <c r="S255" s="25"/>
      <c r="T255" s="25"/>
      <c r="U255" s="8"/>
      <c r="V255" s="8" t="str">
        <f>_xlfn.SINGLE(IF($B255 = "", "", IF(_xlfn.SINGLE(_xlfn.TEXTJOIN(" | ", TRUE, IF($B255 = "", "Missing Title", ""), IF($C255 = "", "Missing Date", ""), IF($D255 = "", "Missing Start", ""), IF($E255 = "", "Missing End", ""), IF($G255 = "", "Missing Required Attendees", ""), IF($T255 = "", "Missing Status", ""), IF(AND($D255 &lt;&gt; "", $E255 &lt;&gt; "", $D255 &gt;= $E255), "Start&gt;=End", ""), IF(OR($R255 = "", LEN($R255) &lt; 60, ISNUMBER(MATCH(TRIM($R255), StatusList, 0))), "Body overwritten/short", ""))) = "", "OK", _xlfn.TEXTJOIN(" | ", TRUE, IF($B255 = "", "Missing Title", ""), IF($C255 = "", "Missing Date", ""), IF($D255 = "", "Missing Start", ""), IF($E255 = "", "Missing End", ""), IF($G255 = "", "Missing Required Attendees", ""), IF($T255 = "", "Missing Status", ""), IF(AND($D255 &lt;&gt; "", $E255 &lt;&gt; "", $D255 &gt;= $E255), "Start&gt;=End", ""), IF(OR($R255 = "", LEN($R255) &lt; 60, ISNUMBER(MATCH(TRIM($R255), StatusList, 0))), "Body overwritten/short", "")))))</f>
        <v/>
      </c>
    </row>
    <row r="256" spans="2:22" ht="12.75" customHeight="1">
      <c r="B256" s="25"/>
      <c r="C256" s="34"/>
      <c r="D256" s="38"/>
      <c r="E256" s="38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16" t="str">
        <f>IF($L256&lt;&gt;"","Purpose "&amp;CHAR(10)&amp;$L256&amp;CHAR(10)&amp;CHAR(10),"")&amp;
IF($M256&lt;&gt;"","Stops (in order) "&amp;CHAR(10)&amp;$M256&amp;CHAR(10)&amp;CHAR(10),"")&amp;
IF($N256&lt;&gt;"","To-Do (hard requirements) "&amp;CHAR(10)&amp;$N256&amp;CHAR(10)&amp;CHAR(10),"")&amp;
IF($O256&lt;&gt;"","Suggested Timeline "&amp;CHAR(10)&amp;$O256&amp;CHAR(10)&amp;CHAR(10),"")&amp;
IF($P256&lt;&gt;"","Guardrails "&amp;CHAR(10)&amp;$P256&amp;CHAR(10)&amp;CHAR(10),"")&amp;
IF($Q256&lt;&gt;"","Completion signals "&amp;CHAR(10)&amp;$Q256,"")</f>
        <v/>
      </c>
      <c r="S256" s="25"/>
      <c r="T256" s="25"/>
      <c r="U256" s="8"/>
      <c r="V256" s="8" t="str">
        <f>_xlfn.SINGLE(IF($B256 = "", "", IF(_xlfn.SINGLE(_xlfn.TEXTJOIN(" | ", TRUE, IF($B256 = "", "Missing Title", ""), IF($C256 = "", "Missing Date", ""), IF($D256 = "", "Missing Start", ""), IF($E256 = "", "Missing End", ""), IF($G256 = "", "Missing Required Attendees", ""), IF($T256 = "", "Missing Status", ""), IF(AND($D256 &lt;&gt; "", $E256 &lt;&gt; "", $D256 &gt;= $E256), "Start&gt;=End", ""), IF(OR($R256 = "", LEN($R256) &lt; 60, ISNUMBER(MATCH(TRIM($R256), StatusList, 0))), "Body overwritten/short", ""))) = "", "OK", _xlfn.TEXTJOIN(" | ", TRUE, IF($B256 = "", "Missing Title", ""), IF($C256 = "", "Missing Date", ""), IF($D256 = "", "Missing Start", ""), IF($E256 = "", "Missing End", ""), IF($G256 = "", "Missing Required Attendees", ""), IF($T256 = "", "Missing Status", ""), IF(AND($D256 &lt;&gt; "", $E256 &lt;&gt; "", $D256 &gt;= $E256), "Start&gt;=End", ""), IF(OR($R256 = "", LEN($R256) &lt; 60, ISNUMBER(MATCH(TRIM($R256), StatusList, 0))), "Body overwritten/short", "")))))</f>
        <v/>
      </c>
    </row>
    <row r="257" spans="2:22" ht="12.75" customHeight="1">
      <c r="B257" s="25"/>
      <c r="C257" s="34"/>
      <c r="D257" s="38"/>
      <c r="E257" s="38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16" t="str">
        <f>IF($L257&lt;&gt;"","Purpose "&amp;CHAR(10)&amp;$L257&amp;CHAR(10)&amp;CHAR(10),"")&amp;
IF($M257&lt;&gt;"","Stops (in order) "&amp;CHAR(10)&amp;$M257&amp;CHAR(10)&amp;CHAR(10),"")&amp;
IF($N257&lt;&gt;"","To-Do (hard requirements) "&amp;CHAR(10)&amp;$N257&amp;CHAR(10)&amp;CHAR(10),"")&amp;
IF($O257&lt;&gt;"","Suggested Timeline "&amp;CHAR(10)&amp;$O257&amp;CHAR(10)&amp;CHAR(10),"")&amp;
IF($P257&lt;&gt;"","Guardrails "&amp;CHAR(10)&amp;$P257&amp;CHAR(10)&amp;CHAR(10),"")&amp;
IF($Q257&lt;&gt;"","Completion signals "&amp;CHAR(10)&amp;$Q257,"")</f>
        <v/>
      </c>
      <c r="S257" s="25"/>
      <c r="T257" s="25"/>
      <c r="U257" s="8"/>
      <c r="V257" s="8" t="str">
        <f>_xlfn.SINGLE(IF($B257 = "", "", IF(_xlfn.SINGLE(_xlfn.TEXTJOIN(" | ", TRUE, IF($B257 = "", "Missing Title", ""), IF($C257 = "", "Missing Date", ""), IF($D257 = "", "Missing Start", ""), IF($E257 = "", "Missing End", ""), IF($G257 = "", "Missing Required Attendees", ""), IF($T257 = "", "Missing Status", ""), IF(AND($D257 &lt;&gt; "", $E257 &lt;&gt; "", $D257 &gt;= $E257), "Start&gt;=End", ""), IF(OR($R257 = "", LEN($R257) &lt; 60, ISNUMBER(MATCH(TRIM($R257), StatusList, 0))), "Body overwritten/short", ""))) = "", "OK", _xlfn.TEXTJOIN(" | ", TRUE, IF($B257 = "", "Missing Title", ""), IF($C257 = "", "Missing Date", ""), IF($D257 = "", "Missing Start", ""), IF($E257 = "", "Missing End", ""), IF($G257 = "", "Missing Required Attendees", ""), IF($T257 = "", "Missing Status", ""), IF(AND($D257 &lt;&gt; "", $E257 &lt;&gt; "", $D257 &gt;= $E257), "Start&gt;=End", ""), IF(OR($R257 = "", LEN($R257) &lt; 60, ISNUMBER(MATCH(TRIM($R257), StatusList, 0))), "Body overwritten/short", "")))))</f>
        <v/>
      </c>
    </row>
    <row r="258" spans="2:22" ht="12.75" customHeight="1">
      <c r="B258" s="25"/>
      <c r="C258" s="34"/>
      <c r="D258" s="38"/>
      <c r="E258" s="38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16" t="str">
        <f>IF($L258&lt;&gt;"","Purpose "&amp;CHAR(10)&amp;$L258&amp;CHAR(10)&amp;CHAR(10),"")&amp;
IF($M258&lt;&gt;"","Stops (in order) "&amp;CHAR(10)&amp;$M258&amp;CHAR(10)&amp;CHAR(10),"")&amp;
IF($N258&lt;&gt;"","To-Do (hard requirements) "&amp;CHAR(10)&amp;$N258&amp;CHAR(10)&amp;CHAR(10),"")&amp;
IF($O258&lt;&gt;"","Suggested Timeline "&amp;CHAR(10)&amp;$O258&amp;CHAR(10)&amp;CHAR(10),"")&amp;
IF($P258&lt;&gt;"","Guardrails "&amp;CHAR(10)&amp;$P258&amp;CHAR(10)&amp;CHAR(10),"")&amp;
IF($Q258&lt;&gt;"","Completion signals "&amp;CHAR(10)&amp;$Q258,"")</f>
        <v/>
      </c>
      <c r="S258" s="25"/>
      <c r="T258" s="25"/>
      <c r="U258" s="8"/>
      <c r="V258" s="8" t="str">
        <f>_xlfn.SINGLE(IF($B258 = "", "", IF(_xlfn.SINGLE(_xlfn.TEXTJOIN(" | ", TRUE, IF($B258 = "", "Missing Title", ""), IF($C258 = "", "Missing Date", ""), IF($D258 = "", "Missing Start", ""), IF($E258 = "", "Missing End", ""), IF($G258 = "", "Missing Required Attendees", ""), IF($T258 = "", "Missing Status", ""), IF(AND($D258 &lt;&gt; "", $E258 &lt;&gt; "", $D258 &gt;= $E258), "Start&gt;=End", ""), IF(OR($R258 = "", LEN($R258) &lt; 60, ISNUMBER(MATCH(TRIM($R258), StatusList, 0))), "Body overwritten/short", ""))) = "", "OK", _xlfn.TEXTJOIN(" | ", TRUE, IF($B258 = "", "Missing Title", ""), IF($C258 = "", "Missing Date", ""), IF($D258 = "", "Missing Start", ""), IF($E258 = "", "Missing End", ""), IF($G258 = "", "Missing Required Attendees", ""), IF($T258 = "", "Missing Status", ""), IF(AND($D258 &lt;&gt; "", $E258 &lt;&gt; "", $D258 &gt;= $E258), "Start&gt;=End", ""), IF(OR($R258 = "", LEN($R258) &lt; 60, ISNUMBER(MATCH(TRIM($R258), StatusList, 0))), "Body overwritten/short", "")))))</f>
        <v/>
      </c>
    </row>
    <row r="259" spans="2:22" ht="12.75" customHeight="1">
      <c r="B259" s="25"/>
      <c r="C259" s="34"/>
      <c r="D259" s="38"/>
      <c r="E259" s="38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16" t="str">
        <f>IF($L259&lt;&gt;"","Purpose "&amp;CHAR(10)&amp;$L259&amp;CHAR(10)&amp;CHAR(10),"")&amp;
IF($M259&lt;&gt;"","Stops (in order) "&amp;CHAR(10)&amp;$M259&amp;CHAR(10)&amp;CHAR(10),"")&amp;
IF($N259&lt;&gt;"","To-Do (hard requirements) "&amp;CHAR(10)&amp;$N259&amp;CHAR(10)&amp;CHAR(10),"")&amp;
IF($O259&lt;&gt;"","Suggested Timeline "&amp;CHAR(10)&amp;$O259&amp;CHAR(10)&amp;CHAR(10),"")&amp;
IF($P259&lt;&gt;"","Guardrails "&amp;CHAR(10)&amp;$P259&amp;CHAR(10)&amp;CHAR(10),"")&amp;
IF($Q259&lt;&gt;"","Completion signals "&amp;CHAR(10)&amp;$Q259,"")</f>
        <v/>
      </c>
      <c r="S259" s="25"/>
      <c r="T259" s="25"/>
      <c r="U259" s="8"/>
      <c r="V259" s="8" t="str">
        <f>_xlfn.SINGLE(IF($B259 = "", "", IF(_xlfn.SINGLE(_xlfn.TEXTJOIN(" | ", TRUE, IF($B259 = "", "Missing Title", ""), IF($C259 = "", "Missing Date", ""), IF($D259 = "", "Missing Start", ""), IF($E259 = "", "Missing End", ""), IF($G259 = "", "Missing Required Attendees", ""), IF($T259 = "", "Missing Status", ""), IF(AND($D259 &lt;&gt; "", $E259 &lt;&gt; "", $D259 &gt;= $E259), "Start&gt;=End", ""), IF(OR($R259 = "", LEN($R259) &lt; 60, ISNUMBER(MATCH(TRIM($R259), StatusList, 0))), "Body overwritten/short", ""))) = "", "OK", _xlfn.TEXTJOIN(" | ", TRUE, IF($B259 = "", "Missing Title", ""), IF($C259 = "", "Missing Date", ""), IF($D259 = "", "Missing Start", ""), IF($E259 = "", "Missing End", ""), IF($G259 = "", "Missing Required Attendees", ""), IF($T259 = "", "Missing Status", ""), IF(AND($D259 &lt;&gt; "", $E259 &lt;&gt; "", $D259 &gt;= $E259), "Start&gt;=End", ""), IF(OR($R259 = "", LEN($R259) &lt; 60, ISNUMBER(MATCH(TRIM($R259), StatusList, 0))), "Body overwritten/short", "")))))</f>
        <v/>
      </c>
    </row>
    <row r="260" spans="2:22" ht="12.75" customHeight="1">
      <c r="B260" s="25"/>
      <c r="C260" s="34"/>
      <c r="D260" s="38"/>
      <c r="E260" s="38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16" t="str">
        <f>IF($L260&lt;&gt;"","Purpose "&amp;CHAR(10)&amp;$L260&amp;CHAR(10)&amp;CHAR(10),"")&amp;
IF($M260&lt;&gt;"","Stops (in order) "&amp;CHAR(10)&amp;$M260&amp;CHAR(10)&amp;CHAR(10),"")&amp;
IF($N260&lt;&gt;"","To-Do (hard requirements) "&amp;CHAR(10)&amp;$N260&amp;CHAR(10)&amp;CHAR(10),"")&amp;
IF($O260&lt;&gt;"","Suggested Timeline "&amp;CHAR(10)&amp;$O260&amp;CHAR(10)&amp;CHAR(10),"")&amp;
IF($P260&lt;&gt;"","Guardrails "&amp;CHAR(10)&amp;$P260&amp;CHAR(10)&amp;CHAR(10),"")&amp;
IF($Q260&lt;&gt;"","Completion signals "&amp;CHAR(10)&amp;$Q260,"")</f>
        <v/>
      </c>
      <c r="S260" s="25"/>
      <c r="T260" s="25"/>
      <c r="U260" s="8"/>
      <c r="V260" s="8" t="str">
        <f>_xlfn.SINGLE(IF($B260 = "", "", IF(_xlfn.SINGLE(_xlfn.TEXTJOIN(" | ", TRUE, IF($B260 = "", "Missing Title", ""), IF($C260 = "", "Missing Date", ""), IF($D260 = "", "Missing Start", ""), IF($E260 = "", "Missing End", ""), IF($G260 = "", "Missing Required Attendees", ""), IF($T260 = "", "Missing Status", ""), IF(AND($D260 &lt;&gt; "", $E260 &lt;&gt; "", $D260 &gt;= $E260), "Start&gt;=End", ""), IF(OR($R260 = "", LEN($R260) &lt; 60, ISNUMBER(MATCH(TRIM($R260), StatusList, 0))), "Body overwritten/short", ""))) = "", "OK", _xlfn.TEXTJOIN(" | ", TRUE, IF($B260 = "", "Missing Title", ""), IF($C260 = "", "Missing Date", ""), IF($D260 = "", "Missing Start", ""), IF($E260 = "", "Missing End", ""), IF($G260 = "", "Missing Required Attendees", ""), IF($T260 = "", "Missing Status", ""), IF(AND($D260 &lt;&gt; "", $E260 &lt;&gt; "", $D260 &gt;= $E260), "Start&gt;=End", ""), IF(OR($R260 = "", LEN($R260) &lt; 60, ISNUMBER(MATCH(TRIM($R260), StatusList, 0))), "Body overwritten/short", "")))))</f>
        <v/>
      </c>
    </row>
    <row r="261" spans="2:22" ht="12.75" customHeight="1">
      <c r="B261" s="25"/>
      <c r="C261" s="34"/>
      <c r="D261" s="38"/>
      <c r="E261" s="38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16" t="str">
        <f>IF($L261&lt;&gt;"","Purpose "&amp;CHAR(10)&amp;$L261&amp;CHAR(10)&amp;CHAR(10),"")&amp;
IF($M261&lt;&gt;"","Stops (in order) "&amp;CHAR(10)&amp;$M261&amp;CHAR(10)&amp;CHAR(10),"")&amp;
IF($N261&lt;&gt;"","To-Do (hard requirements) "&amp;CHAR(10)&amp;$N261&amp;CHAR(10)&amp;CHAR(10),"")&amp;
IF($O261&lt;&gt;"","Suggested Timeline "&amp;CHAR(10)&amp;$O261&amp;CHAR(10)&amp;CHAR(10),"")&amp;
IF($P261&lt;&gt;"","Guardrails "&amp;CHAR(10)&amp;$P261&amp;CHAR(10)&amp;CHAR(10),"")&amp;
IF($Q261&lt;&gt;"","Completion signals "&amp;CHAR(10)&amp;$Q261,"")</f>
        <v/>
      </c>
      <c r="S261" s="25"/>
      <c r="T261" s="25"/>
      <c r="U261" s="8"/>
      <c r="V261" s="8" t="str">
        <f>_xlfn.SINGLE(IF($B261 = "", "", IF(_xlfn.SINGLE(_xlfn.TEXTJOIN(" | ", TRUE, IF($B261 = "", "Missing Title", ""), IF($C261 = "", "Missing Date", ""), IF($D261 = "", "Missing Start", ""), IF($E261 = "", "Missing End", ""), IF($G261 = "", "Missing Required Attendees", ""), IF($T261 = "", "Missing Status", ""), IF(AND($D261 &lt;&gt; "", $E261 &lt;&gt; "", $D261 &gt;= $E261), "Start&gt;=End", ""), IF(OR($R261 = "", LEN($R261) &lt; 60, ISNUMBER(MATCH(TRIM($R261), StatusList, 0))), "Body overwritten/short", ""))) = "", "OK", _xlfn.TEXTJOIN(" | ", TRUE, IF($B261 = "", "Missing Title", ""), IF($C261 = "", "Missing Date", ""), IF($D261 = "", "Missing Start", ""), IF($E261 = "", "Missing End", ""), IF($G261 = "", "Missing Required Attendees", ""), IF($T261 = "", "Missing Status", ""), IF(AND($D261 &lt;&gt; "", $E261 &lt;&gt; "", $D261 &gt;= $E261), "Start&gt;=End", ""), IF(OR($R261 = "", LEN($R261) &lt; 60, ISNUMBER(MATCH(TRIM($R261), StatusList, 0))), "Body overwritten/short", "")))))</f>
        <v/>
      </c>
    </row>
    <row r="262" spans="2:22" ht="12.75" customHeight="1">
      <c r="B262" s="25"/>
      <c r="C262" s="34"/>
      <c r="D262" s="38"/>
      <c r="E262" s="38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16" t="str">
        <f>IF($L262&lt;&gt;"","Purpose "&amp;CHAR(10)&amp;$L262&amp;CHAR(10)&amp;CHAR(10),"")&amp;
IF($M262&lt;&gt;"","Stops (in order) "&amp;CHAR(10)&amp;$M262&amp;CHAR(10)&amp;CHAR(10),"")&amp;
IF($N262&lt;&gt;"","To-Do (hard requirements) "&amp;CHAR(10)&amp;$N262&amp;CHAR(10)&amp;CHAR(10),"")&amp;
IF($O262&lt;&gt;"","Suggested Timeline "&amp;CHAR(10)&amp;$O262&amp;CHAR(10)&amp;CHAR(10),"")&amp;
IF($P262&lt;&gt;"","Guardrails "&amp;CHAR(10)&amp;$P262&amp;CHAR(10)&amp;CHAR(10),"")&amp;
IF($Q262&lt;&gt;"","Completion signals "&amp;CHAR(10)&amp;$Q262,"")</f>
        <v/>
      </c>
      <c r="S262" s="25"/>
      <c r="T262" s="25"/>
      <c r="U262" s="8"/>
      <c r="V262" s="8" t="str">
        <f>_xlfn.SINGLE(IF($B262 = "", "", IF(_xlfn.SINGLE(_xlfn.TEXTJOIN(" | ", TRUE, IF($B262 = "", "Missing Title", ""), IF($C262 = "", "Missing Date", ""), IF($D262 = "", "Missing Start", ""), IF($E262 = "", "Missing End", ""), IF($G262 = "", "Missing Required Attendees", ""), IF($T262 = "", "Missing Status", ""), IF(AND($D262 &lt;&gt; "", $E262 &lt;&gt; "", $D262 &gt;= $E262), "Start&gt;=End", ""), IF(OR($R262 = "", LEN($R262) &lt; 60, ISNUMBER(MATCH(TRIM($R262), StatusList, 0))), "Body overwritten/short", ""))) = "", "OK", _xlfn.TEXTJOIN(" | ", TRUE, IF($B262 = "", "Missing Title", ""), IF($C262 = "", "Missing Date", ""), IF($D262 = "", "Missing Start", ""), IF($E262 = "", "Missing End", ""), IF($G262 = "", "Missing Required Attendees", ""), IF($T262 = "", "Missing Status", ""), IF(AND($D262 &lt;&gt; "", $E262 &lt;&gt; "", $D262 &gt;= $E262), "Start&gt;=End", ""), IF(OR($R262 = "", LEN($R262) &lt; 60, ISNUMBER(MATCH(TRIM($R262), StatusList, 0))), "Body overwritten/short", "")))))</f>
        <v/>
      </c>
    </row>
    <row r="263" spans="2:22" ht="12.75" customHeight="1">
      <c r="B263" s="25"/>
      <c r="C263" s="34"/>
      <c r="D263" s="38"/>
      <c r="E263" s="38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16" t="str">
        <f>IF($L263&lt;&gt;"","Purpose "&amp;CHAR(10)&amp;$L263&amp;CHAR(10)&amp;CHAR(10),"")&amp;
IF($M263&lt;&gt;"","Stops (in order) "&amp;CHAR(10)&amp;$M263&amp;CHAR(10)&amp;CHAR(10),"")&amp;
IF($N263&lt;&gt;"","To-Do (hard requirements) "&amp;CHAR(10)&amp;$N263&amp;CHAR(10)&amp;CHAR(10),"")&amp;
IF($O263&lt;&gt;"","Suggested Timeline "&amp;CHAR(10)&amp;$O263&amp;CHAR(10)&amp;CHAR(10),"")&amp;
IF($P263&lt;&gt;"","Guardrails "&amp;CHAR(10)&amp;$P263&amp;CHAR(10)&amp;CHAR(10),"")&amp;
IF($Q263&lt;&gt;"","Completion signals "&amp;CHAR(10)&amp;$Q263,"")</f>
        <v/>
      </c>
      <c r="S263" s="25"/>
      <c r="T263" s="25"/>
      <c r="U263" s="8"/>
      <c r="V263" s="8" t="str">
        <f>_xlfn.SINGLE(IF($B263 = "", "", IF(_xlfn.SINGLE(_xlfn.TEXTJOIN(" | ", TRUE, IF($B263 = "", "Missing Title", ""), IF($C263 = "", "Missing Date", ""), IF($D263 = "", "Missing Start", ""), IF($E263 = "", "Missing End", ""), IF($G263 = "", "Missing Required Attendees", ""), IF($T263 = "", "Missing Status", ""), IF(AND($D263 &lt;&gt; "", $E263 &lt;&gt; "", $D263 &gt;= $E263), "Start&gt;=End", ""), IF(OR($R263 = "", LEN($R263) &lt; 60, ISNUMBER(MATCH(TRIM($R263), StatusList, 0))), "Body overwritten/short", ""))) = "", "OK", _xlfn.TEXTJOIN(" | ", TRUE, IF($B263 = "", "Missing Title", ""), IF($C263 = "", "Missing Date", ""), IF($D263 = "", "Missing Start", ""), IF($E263 = "", "Missing End", ""), IF($G263 = "", "Missing Required Attendees", ""), IF($T263 = "", "Missing Status", ""), IF(AND($D263 &lt;&gt; "", $E263 &lt;&gt; "", $D263 &gt;= $E263), "Start&gt;=End", ""), IF(OR($R263 = "", LEN($R263) &lt; 60, ISNUMBER(MATCH(TRIM($R263), StatusList, 0))), "Body overwritten/short", "")))))</f>
        <v/>
      </c>
    </row>
    <row r="264" spans="2:22" ht="12.75" customHeight="1">
      <c r="B264" s="25"/>
      <c r="C264" s="34"/>
      <c r="D264" s="38"/>
      <c r="E264" s="38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16" t="str">
        <f>IF($L264&lt;&gt;"","Purpose "&amp;CHAR(10)&amp;$L264&amp;CHAR(10)&amp;CHAR(10),"")&amp;
IF($M264&lt;&gt;"","Stops (in order) "&amp;CHAR(10)&amp;$M264&amp;CHAR(10)&amp;CHAR(10),"")&amp;
IF($N264&lt;&gt;"","To-Do (hard requirements) "&amp;CHAR(10)&amp;$N264&amp;CHAR(10)&amp;CHAR(10),"")&amp;
IF($O264&lt;&gt;"","Suggested Timeline "&amp;CHAR(10)&amp;$O264&amp;CHAR(10)&amp;CHAR(10),"")&amp;
IF($P264&lt;&gt;"","Guardrails "&amp;CHAR(10)&amp;$P264&amp;CHAR(10)&amp;CHAR(10),"")&amp;
IF($Q264&lt;&gt;"","Completion signals "&amp;CHAR(10)&amp;$Q264,"")</f>
        <v/>
      </c>
      <c r="S264" s="25"/>
      <c r="T264" s="25"/>
      <c r="U264" s="8"/>
      <c r="V264" s="8" t="str">
        <f>_xlfn.SINGLE(IF($B264 = "", "", IF(_xlfn.SINGLE(_xlfn.TEXTJOIN(" | ", TRUE, IF($B264 = "", "Missing Title", ""), IF($C264 = "", "Missing Date", ""), IF($D264 = "", "Missing Start", ""), IF($E264 = "", "Missing End", ""), IF($G264 = "", "Missing Required Attendees", ""), IF($T264 = "", "Missing Status", ""), IF(AND($D264 &lt;&gt; "", $E264 &lt;&gt; "", $D264 &gt;= $E264), "Start&gt;=End", ""), IF(OR($R264 = "", LEN($R264) &lt; 60, ISNUMBER(MATCH(TRIM($R264), StatusList, 0))), "Body overwritten/short", ""))) = "", "OK", _xlfn.TEXTJOIN(" | ", TRUE, IF($B264 = "", "Missing Title", ""), IF($C264 = "", "Missing Date", ""), IF($D264 = "", "Missing Start", ""), IF($E264 = "", "Missing End", ""), IF($G264 = "", "Missing Required Attendees", ""), IF($T264 = "", "Missing Status", ""), IF(AND($D264 &lt;&gt; "", $E264 &lt;&gt; "", $D264 &gt;= $E264), "Start&gt;=End", ""), IF(OR($R264 = "", LEN($R264) &lt; 60, ISNUMBER(MATCH(TRIM($R264), StatusList, 0))), "Body overwritten/short", "")))))</f>
        <v/>
      </c>
    </row>
    <row r="265" spans="2:22" ht="12.75" customHeight="1">
      <c r="B265" s="25"/>
      <c r="C265" s="34"/>
      <c r="D265" s="38"/>
      <c r="E265" s="38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16" t="str">
        <f>IF($L265&lt;&gt;"","Purpose "&amp;CHAR(10)&amp;$L265&amp;CHAR(10)&amp;CHAR(10),"")&amp;
IF($M265&lt;&gt;"","Stops (in order) "&amp;CHAR(10)&amp;$M265&amp;CHAR(10)&amp;CHAR(10),"")&amp;
IF($N265&lt;&gt;"","To-Do (hard requirements) "&amp;CHAR(10)&amp;$N265&amp;CHAR(10)&amp;CHAR(10),"")&amp;
IF($O265&lt;&gt;"","Suggested Timeline "&amp;CHAR(10)&amp;$O265&amp;CHAR(10)&amp;CHAR(10),"")&amp;
IF($P265&lt;&gt;"","Guardrails "&amp;CHAR(10)&amp;$P265&amp;CHAR(10)&amp;CHAR(10),"")&amp;
IF($Q265&lt;&gt;"","Completion signals "&amp;CHAR(10)&amp;$Q265,"")</f>
        <v/>
      </c>
      <c r="S265" s="25"/>
      <c r="T265" s="25"/>
      <c r="U265" s="8"/>
      <c r="V265" s="8" t="str">
        <f>_xlfn.SINGLE(IF($B265 = "", "", IF(_xlfn.SINGLE(_xlfn.TEXTJOIN(" | ", TRUE, IF($B265 = "", "Missing Title", ""), IF($C265 = "", "Missing Date", ""), IF($D265 = "", "Missing Start", ""), IF($E265 = "", "Missing End", ""), IF($G265 = "", "Missing Required Attendees", ""), IF($T265 = "", "Missing Status", ""), IF(AND($D265 &lt;&gt; "", $E265 &lt;&gt; "", $D265 &gt;= $E265), "Start&gt;=End", ""), IF(OR($R265 = "", LEN($R265) &lt; 60, ISNUMBER(MATCH(TRIM($R265), StatusList, 0))), "Body overwritten/short", ""))) = "", "OK", _xlfn.TEXTJOIN(" | ", TRUE, IF($B265 = "", "Missing Title", ""), IF($C265 = "", "Missing Date", ""), IF($D265 = "", "Missing Start", ""), IF($E265 = "", "Missing End", ""), IF($G265 = "", "Missing Required Attendees", ""), IF($T265 = "", "Missing Status", ""), IF(AND($D265 &lt;&gt; "", $E265 &lt;&gt; "", $D265 &gt;= $E265), "Start&gt;=End", ""), IF(OR($R265 = "", LEN($R265) &lt; 60, ISNUMBER(MATCH(TRIM($R265), StatusList, 0))), "Body overwritten/short", "")))))</f>
        <v/>
      </c>
    </row>
    <row r="266" spans="2:22" ht="12.75" customHeight="1">
      <c r="B266" s="25"/>
      <c r="C266" s="34"/>
      <c r="D266" s="38"/>
      <c r="E266" s="38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16" t="str">
        <f>IF($L266&lt;&gt;"","Purpose "&amp;CHAR(10)&amp;$L266&amp;CHAR(10)&amp;CHAR(10),"")&amp;
IF($M266&lt;&gt;"","Stops (in order) "&amp;CHAR(10)&amp;$M266&amp;CHAR(10)&amp;CHAR(10),"")&amp;
IF($N266&lt;&gt;"","To-Do (hard requirements) "&amp;CHAR(10)&amp;$N266&amp;CHAR(10)&amp;CHAR(10),"")&amp;
IF($O266&lt;&gt;"","Suggested Timeline "&amp;CHAR(10)&amp;$O266&amp;CHAR(10)&amp;CHAR(10),"")&amp;
IF($P266&lt;&gt;"","Guardrails "&amp;CHAR(10)&amp;$P266&amp;CHAR(10)&amp;CHAR(10),"")&amp;
IF($Q266&lt;&gt;"","Completion signals "&amp;CHAR(10)&amp;$Q266,"")</f>
        <v/>
      </c>
      <c r="S266" s="25"/>
      <c r="T266" s="25"/>
      <c r="U266" s="8"/>
      <c r="V266" s="8" t="str">
        <f>_xlfn.SINGLE(IF($B266 = "", "", IF(_xlfn.SINGLE(_xlfn.TEXTJOIN(" | ", TRUE, IF($B266 = "", "Missing Title", ""), IF($C266 = "", "Missing Date", ""), IF($D266 = "", "Missing Start", ""), IF($E266 = "", "Missing End", ""), IF($G266 = "", "Missing Required Attendees", ""), IF($T266 = "", "Missing Status", ""), IF(AND($D266 &lt;&gt; "", $E266 &lt;&gt; "", $D266 &gt;= $E266), "Start&gt;=End", ""), IF(OR($R266 = "", LEN($R266) &lt; 60, ISNUMBER(MATCH(TRIM($R266), StatusList, 0))), "Body overwritten/short", ""))) = "", "OK", _xlfn.TEXTJOIN(" | ", TRUE, IF($B266 = "", "Missing Title", ""), IF($C266 = "", "Missing Date", ""), IF($D266 = "", "Missing Start", ""), IF($E266 = "", "Missing End", ""), IF($G266 = "", "Missing Required Attendees", ""), IF($T266 = "", "Missing Status", ""), IF(AND($D266 &lt;&gt; "", $E266 &lt;&gt; "", $D266 &gt;= $E266), "Start&gt;=End", ""), IF(OR($R266 = "", LEN($R266) &lt; 60, ISNUMBER(MATCH(TRIM($R266), StatusList, 0))), "Body overwritten/short", "")))))</f>
        <v/>
      </c>
    </row>
    <row r="267" spans="2:22" ht="12.75" customHeight="1">
      <c r="B267" s="25"/>
      <c r="C267" s="34"/>
      <c r="D267" s="38"/>
      <c r="E267" s="38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16" t="str">
        <f>IF($L267&lt;&gt;"","Purpose "&amp;CHAR(10)&amp;$L267&amp;CHAR(10)&amp;CHAR(10),"")&amp;
IF($M267&lt;&gt;"","Stops (in order) "&amp;CHAR(10)&amp;$M267&amp;CHAR(10)&amp;CHAR(10),"")&amp;
IF($N267&lt;&gt;"","To-Do (hard requirements) "&amp;CHAR(10)&amp;$N267&amp;CHAR(10)&amp;CHAR(10),"")&amp;
IF($O267&lt;&gt;"","Suggested Timeline "&amp;CHAR(10)&amp;$O267&amp;CHAR(10)&amp;CHAR(10),"")&amp;
IF($P267&lt;&gt;"","Guardrails "&amp;CHAR(10)&amp;$P267&amp;CHAR(10)&amp;CHAR(10),"")&amp;
IF($Q267&lt;&gt;"","Completion signals "&amp;CHAR(10)&amp;$Q267,"")</f>
        <v/>
      </c>
      <c r="S267" s="25"/>
      <c r="T267" s="25"/>
      <c r="U267" s="8"/>
      <c r="V267" s="8" t="str">
        <f>_xlfn.SINGLE(IF($B267 = "", "", IF(_xlfn.SINGLE(_xlfn.TEXTJOIN(" | ", TRUE, IF($B267 = "", "Missing Title", ""), IF($C267 = "", "Missing Date", ""), IF($D267 = "", "Missing Start", ""), IF($E267 = "", "Missing End", ""), IF($G267 = "", "Missing Required Attendees", ""), IF($T267 = "", "Missing Status", ""), IF(AND($D267 &lt;&gt; "", $E267 &lt;&gt; "", $D267 &gt;= $E267), "Start&gt;=End", ""), IF(OR($R267 = "", LEN($R267) &lt; 60, ISNUMBER(MATCH(TRIM($R267), StatusList, 0))), "Body overwritten/short", ""))) = "", "OK", _xlfn.TEXTJOIN(" | ", TRUE, IF($B267 = "", "Missing Title", ""), IF($C267 = "", "Missing Date", ""), IF($D267 = "", "Missing Start", ""), IF($E267 = "", "Missing End", ""), IF($G267 = "", "Missing Required Attendees", ""), IF($T267 = "", "Missing Status", ""), IF(AND($D267 &lt;&gt; "", $E267 &lt;&gt; "", $D267 &gt;= $E267), "Start&gt;=End", ""), IF(OR($R267 = "", LEN($R267) &lt; 60, ISNUMBER(MATCH(TRIM($R267), StatusList, 0))), "Body overwritten/short", "")))))</f>
        <v/>
      </c>
    </row>
    <row r="268" spans="2:22" ht="12.75" customHeight="1">
      <c r="B268" s="25"/>
      <c r="C268" s="34"/>
      <c r="D268" s="38"/>
      <c r="E268" s="38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16" t="str">
        <f>IF($L268&lt;&gt;"","Purpose "&amp;CHAR(10)&amp;$L268&amp;CHAR(10)&amp;CHAR(10),"")&amp;
IF($M268&lt;&gt;"","Stops (in order) "&amp;CHAR(10)&amp;$M268&amp;CHAR(10)&amp;CHAR(10),"")&amp;
IF($N268&lt;&gt;"","To-Do (hard requirements) "&amp;CHAR(10)&amp;$N268&amp;CHAR(10)&amp;CHAR(10),"")&amp;
IF($O268&lt;&gt;"","Suggested Timeline "&amp;CHAR(10)&amp;$O268&amp;CHAR(10)&amp;CHAR(10),"")&amp;
IF($P268&lt;&gt;"","Guardrails "&amp;CHAR(10)&amp;$P268&amp;CHAR(10)&amp;CHAR(10),"")&amp;
IF($Q268&lt;&gt;"","Completion signals "&amp;CHAR(10)&amp;$Q268,"")</f>
        <v/>
      </c>
      <c r="S268" s="25"/>
      <c r="T268" s="25"/>
      <c r="U268" s="8"/>
      <c r="V268" s="8" t="str">
        <f>_xlfn.SINGLE(IF($B268 = "", "", IF(_xlfn.SINGLE(_xlfn.TEXTJOIN(" | ", TRUE, IF($B268 = "", "Missing Title", ""), IF($C268 = "", "Missing Date", ""), IF($D268 = "", "Missing Start", ""), IF($E268 = "", "Missing End", ""), IF($G268 = "", "Missing Required Attendees", ""), IF($T268 = "", "Missing Status", ""), IF(AND($D268 &lt;&gt; "", $E268 &lt;&gt; "", $D268 &gt;= $E268), "Start&gt;=End", ""), IF(OR($R268 = "", LEN($R268) &lt; 60, ISNUMBER(MATCH(TRIM($R268), StatusList, 0))), "Body overwritten/short", ""))) = "", "OK", _xlfn.TEXTJOIN(" | ", TRUE, IF($B268 = "", "Missing Title", ""), IF($C268 = "", "Missing Date", ""), IF($D268 = "", "Missing Start", ""), IF($E268 = "", "Missing End", ""), IF($G268 = "", "Missing Required Attendees", ""), IF($T268 = "", "Missing Status", ""), IF(AND($D268 &lt;&gt; "", $E268 &lt;&gt; "", $D268 &gt;= $E268), "Start&gt;=End", ""), IF(OR($R268 = "", LEN($R268) &lt; 60, ISNUMBER(MATCH(TRIM($R268), StatusList, 0))), "Body overwritten/short", "")))))</f>
        <v/>
      </c>
    </row>
    <row r="269" spans="2:22" ht="12.75" customHeight="1">
      <c r="B269" s="25"/>
      <c r="C269" s="34"/>
      <c r="D269" s="38"/>
      <c r="E269" s="38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16" t="str">
        <f>IF($L269&lt;&gt;"","Purpose "&amp;CHAR(10)&amp;$L269&amp;CHAR(10)&amp;CHAR(10),"")&amp;
IF($M269&lt;&gt;"","Stops (in order) "&amp;CHAR(10)&amp;$M269&amp;CHAR(10)&amp;CHAR(10),"")&amp;
IF($N269&lt;&gt;"","To-Do (hard requirements) "&amp;CHAR(10)&amp;$N269&amp;CHAR(10)&amp;CHAR(10),"")&amp;
IF($O269&lt;&gt;"","Suggested Timeline "&amp;CHAR(10)&amp;$O269&amp;CHAR(10)&amp;CHAR(10),"")&amp;
IF($P269&lt;&gt;"","Guardrails "&amp;CHAR(10)&amp;$P269&amp;CHAR(10)&amp;CHAR(10),"")&amp;
IF($Q269&lt;&gt;"","Completion signals "&amp;CHAR(10)&amp;$Q269,"")</f>
        <v/>
      </c>
      <c r="S269" s="25"/>
      <c r="T269" s="25"/>
      <c r="U269" s="8"/>
      <c r="V269" s="8" t="str">
        <f>_xlfn.SINGLE(IF($B269 = "", "", IF(_xlfn.SINGLE(_xlfn.TEXTJOIN(" | ", TRUE, IF($B269 = "", "Missing Title", ""), IF($C269 = "", "Missing Date", ""), IF($D269 = "", "Missing Start", ""), IF($E269 = "", "Missing End", ""), IF($G269 = "", "Missing Required Attendees", ""), IF($T269 = "", "Missing Status", ""), IF(AND($D269 &lt;&gt; "", $E269 &lt;&gt; "", $D269 &gt;= $E269), "Start&gt;=End", ""), IF(OR($R269 = "", LEN($R269) &lt; 60, ISNUMBER(MATCH(TRIM($R269), StatusList, 0))), "Body overwritten/short", ""))) = "", "OK", _xlfn.TEXTJOIN(" | ", TRUE, IF($B269 = "", "Missing Title", ""), IF($C269 = "", "Missing Date", ""), IF($D269 = "", "Missing Start", ""), IF($E269 = "", "Missing End", ""), IF($G269 = "", "Missing Required Attendees", ""), IF($T269 = "", "Missing Status", ""), IF(AND($D269 &lt;&gt; "", $E269 &lt;&gt; "", $D269 &gt;= $E269), "Start&gt;=End", ""), IF(OR($R269 = "", LEN($R269) &lt; 60, ISNUMBER(MATCH(TRIM($R269), StatusList, 0))), "Body overwritten/short", "")))))</f>
        <v/>
      </c>
    </row>
    <row r="270" spans="2:22" ht="12.75" customHeight="1">
      <c r="B270" s="25"/>
      <c r="C270" s="34"/>
      <c r="D270" s="38"/>
      <c r="E270" s="38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16" t="str">
        <f>IF($L270&lt;&gt;"","Purpose "&amp;CHAR(10)&amp;$L270&amp;CHAR(10)&amp;CHAR(10),"")&amp;
IF($M270&lt;&gt;"","Stops (in order) "&amp;CHAR(10)&amp;$M270&amp;CHAR(10)&amp;CHAR(10),"")&amp;
IF($N270&lt;&gt;"","To-Do (hard requirements) "&amp;CHAR(10)&amp;$N270&amp;CHAR(10)&amp;CHAR(10),"")&amp;
IF($O270&lt;&gt;"","Suggested Timeline "&amp;CHAR(10)&amp;$O270&amp;CHAR(10)&amp;CHAR(10),"")&amp;
IF($P270&lt;&gt;"","Guardrails "&amp;CHAR(10)&amp;$P270&amp;CHAR(10)&amp;CHAR(10),"")&amp;
IF($Q270&lt;&gt;"","Completion signals "&amp;CHAR(10)&amp;$Q270,"")</f>
        <v/>
      </c>
      <c r="S270" s="25"/>
      <c r="T270" s="25"/>
      <c r="U270" s="8"/>
      <c r="V270" s="8" t="str">
        <f>_xlfn.SINGLE(IF($B270 = "", "", IF(_xlfn.SINGLE(_xlfn.TEXTJOIN(" | ", TRUE, IF($B270 = "", "Missing Title", ""), IF($C270 = "", "Missing Date", ""), IF($D270 = "", "Missing Start", ""), IF($E270 = "", "Missing End", ""), IF($G270 = "", "Missing Required Attendees", ""), IF($T270 = "", "Missing Status", ""), IF(AND($D270 &lt;&gt; "", $E270 &lt;&gt; "", $D270 &gt;= $E270), "Start&gt;=End", ""), IF(OR($R270 = "", LEN($R270) &lt; 60, ISNUMBER(MATCH(TRIM($R270), StatusList, 0))), "Body overwritten/short", ""))) = "", "OK", _xlfn.TEXTJOIN(" | ", TRUE, IF($B270 = "", "Missing Title", ""), IF($C270 = "", "Missing Date", ""), IF($D270 = "", "Missing Start", ""), IF($E270 = "", "Missing End", ""), IF($G270 = "", "Missing Required Attendees", ""), IF($T270 = "", "Missing Status", ""), IF(AND($D270 &lt;&gt; "", $E270 &lt;&gt; "", $D270 &gt;= $E270), "Start&gt;=End", ""), IF(OR($R270 = "", LEN($R270) &lt; 60, ISNUMBER(MATCH(TRIM($R270), StatusList, 0))), "Body overwritten/short", "")))))</f>
        <v/>
      </c>
    </row>
    <row r="271" spans="2:22" ht="12.75" customHeight="1">
      <c r="B271" s="25"/>
      <c r="C271" s="34"/>
      <c r="D271" s="38"/>
      <c r="E271" s="38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16" t="str">
        <f>IF($L271&lt;&gt;"","Purpose "&amp;CHAR(10)&amp;$L271&amp;CHAR(10)&amp;CHAR(10),"")&amp;
IF($M271&lt;&gt;"","Stops (in order) "&amp;CHAR(10)&amp;$M271&amp;CHAR(10)&amp;CHAR(10),"")&amp;
IF($N271&lt;&gt;"","To-Do (hard requirements) "&amp;CHAR(10)&amp;$N271&amp;CHAR(10)&amp;CHAR(10),"")&amp;
IF($O271&lt;&gt;"","Suggested Timeline "&amp;CHAR(10)&amp;$O271&amp;CHAR(10)&amp;CHAR(10),"")&amp;
IF($P271&lt;&gt;"","Guardrails "&amp;CHAR(10)&amp;$P271&amp;CHAR(10)&amp;CHAR(10),"")&amp;
IF($Q271&lt;&gt;"","Completion signals "&amp;CHAR(10)&amp;$Q271,"")</f>
        <v/>
      </c>
      <c r="S271" s="25"/>
      <c r="T271" s="25"/>
      <c r="U271" s="8"/>
      <c r="V271" s="8" t="str">
        <f>_xlfn.SINGLE(IF($B271 = "", "", IF(_xlfn.SINGLE(_xlfn.TEXTJOIN(" | ", TRUE, IF($B271 = "", "Missing Title", ""), IF($C271 = "", "Missing Date", ""), IF($D271 = "", "Missing Start", ""), IF($E271 = "", "Missing End", ""), IF($G271 = "", "Missing Required Attendees", ""), IF($T271 = "", "Missing Status", ""), IF(AND($D271 &lt;&gt; "", $E271 &lt;&gt; "", $D271 &gt;= $E271), "Start&gt;=End", ""), IF(OR($R271 = "", LEN($R271) &lt; 60, ISNUMBER(MATCH(TRIM($R271), StatusList, 0))), "Body overwritten/short", ""))) = "", "OK", _xlfn.TEXTJOIN(" | ", TRUE, IF($B271 = "", "Missing Title", ""), IF($C271 = "", "Missing Date", ""), IF($D271 = "", "Missing Start", ""), IF($E271 = "", "Missing End", ""), IF($G271 = "", "Missing Required Attendees", ""), IF($T271 = "", "Missing Status", ""), IF(AND($D271 &lt;&gt; "", $E271 &lt;&gt; "", $D271 &gt;= $E271), "Start&gt;=End", ""), IF(OR($R271 = "", LEN($R271) &lt; 60, ISNUMBER(MATCH(TRIM($R271), StatusList, 0))), "Body overwritten/short", "")))))</f>
        <v/>
      </c>
    </row>
    <row r="272" spans="2:22" ht="12.75" customHeight="1">
      <c r="B272" s="25"/>
      <c r="C272" s="34"/>
      <c r="D272" s="38"/>
      <c r="E272" s="38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16" t="str">
        <f>IF($L272&lt;&gt;"","Purpose "&amp;CHAR(10)&amp;$L272&amp;CHAR(10)&amp;CHAR(10),"")&amp;
IF($M272&lt;&gt;"","Stops (in order) "&amp;CHAR(10)&amp;$M272&amp;CHAR(10)&amp;CHAR(10),"")&amp;
IF($N272&lt;&gt;"","To-Do (hard requirements) "&amp;CHAR(10)&amp;$N272&amp;CHAR(10)&amp;CHAR(10),"")&amp;
IF($O272&lt;&gt;"","Suggested Timeline "&amp;CHAR(10)&amp;$O272&amp;CHAR(10)&amp;CHAR(10),"")&amp;
IF($P272&lt;&gt;"","Guardrails "&amp;CHAR(10)&amp;$P272&amp;CHAR(10)&amp;CHAR(10),"")&amp;
IF($Q272&lt;&gt;"","Completion signals "&amp;CHAR(10)&amp;$Q272,"")</f>
        <v/>
      </c>
      <c r="S272" s="25"/>
      <c r="T272" s="25"/>
      <c r="U272" s="8"/>
      <c r="V272" s="8" t="str">
        <f>_xlfn.SINGLE(IF($B272 = "", "", IF(_xlfn.SINGLE(_xlfn.TEXTJOIN(" | ", TRUE, IF($B272 = "", "Missing Title", ""), IF($C272 = "", "Missing Date", ""), IF($D272 = "", "Missing Start", ""), IF($E272 = "", "Missing End", ""), IF($G272 = "", "Missing Required Attendees", ""), IF($T272 = "", "Missing Status", ""), IF(AND($D272 &lt;&gt; "", $E272 &lt;&gt; "", $D272 &gt;= $E272), "Start&gt;=End", ""), IF(OR($R272 = "", LEN($R272) &lt; 60, ISNUMBER(MATCH(TRIM($R272), StatusList, 0))), "Body overwritten/short", ""))) = "", "OK", _xlfn.TEXTJOIN(" | ", TRUE, IF($B272 = "", "Missing Title", ""), IF($C272 = "", "Missing Date", ""), IF($D272 = "", "Missing Start", ""), IF($E272 = "", "Missing End", ""), IF($G272 = "", "Missing Required Attendees", ""), IF($T272 = "", "Missing Status", ""), IF(AND($D272 &lt;&gt; "", $E272 &lt;&gt; "", $D272 &gt;= $E272), "Start&gt;=End", ""), IF(OR($R272 = "", LEN($R272) &lt; 60, ISNUMBER(MATCH(TRIM($R272), StatusList, 0))), "Body overwritten/short", "")))))</f>
        <v/>
      </c>
    </row>
    <row r="273" spans="2:22" ht="12.75" customHeight="1">
      <c r="B273" s="25"/>
      <c r="C273" s="34"/>
      <c r="D273" s="38"/>
      <c r="E273" s="38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16" t="str">
        <f>IF($L273&lt;&gt;"","Purpose "&amp;CHAR(10)&amp;$L273&amp;CHAR(10)&amp;CHAR(10),"")&amp;
IF($M273&lt;&gt;"","Stops (in order) "&amp;CHAR(10)&amp;$M273&amp;CHAR(10)&amp;CHAR(10),"")&amp;
IF($N273&lt;&gt;"","To-Do (hard requirements) "&amp;CHAR(10)&amp;$N273&amp;CHAR(10)&amp;CHAR(10),"")&amp;
IF($O273&lt;&gt;"","Suggested Timeline "&amp;CHAR(10)&amp;$O273&amp;CHAR(10)&amp;CHAR(10),"")&amp;
IF($P273&lt;&gt;"","Guardrails "&amp;CHAR(10)&amp;$P273&amp;CHAR(10)&amp;CHAR(10),"")&amp;
IF($Q273&lt;&gt;"","Completion signals "&amp;CHAR(10)&amp;$Q273,"")</f>
        <v/>
      </c>
      <c r="S273" s="25"/>
      <c r="T273" s="25"/>
      <c r="U273" s="8"/>
      <c r="V273" s="8" t="str">
        <f>_xlfn.SINGLE(IF($B273 = "", "", IF(_xlfn.SINGLE(_xlfn.TEXTJOIN(" | ", TRUE, IF($B273 = "", "Missing Title", ""), IF($C273 = "", "Missing Date", ""), IF($D273 = "", "Missing Start", ""), IF($E273 = "", "Missing End", ""), IF($G273 = "", "Missing Required Attendees", ""), IF($T273 = "", "Missing Status", ""), IF(AND($D273 &lt;&gt; "", $E273 &lt;&gt; "", $D273 &gt;= $E273), "Start&gt;=End", ""), IF(OR($R273 = "", LEN($R273) &lt; 60, ISNUMBER(MATCH(TRIM($R273), StatusList, 0))), "Body overwritten/short", ""))) = "", "OK", _xlfn.TEXTJOIN(" | ", TRUE, IF($B273 = "", "Missing Title", ""), IF($C273 = "", "Missing Date", ""), IF($D273 = "", "Missing Start", ""), IF($E273 = "", "Missing End", ""), IF($G273 = "", "Missing Required Attendees", ""), IF($T273 = "", "Missing Status", ""), IF(AND($D273 &lt;&gt; "", $E273 &lt;&gt; "", $D273 &gt;= $E273), "Start&gt;=End", ""), IF(OR($R273 = "", LEN($R273) &lt; 60, ISNUMBER(MATCH(TRIM($R273), StatusList, 0))), "Body overwritten/short", "")))))</f>
        <v/>
      </c>
    </row>
    <row r="274" spans="2:22" ht="12.75" customHeight="1">
      <c r="B274" s="25"/>
      <c r="C274" s="34"/>
      <c r="D274" s="38"/>
      <c r="E274" s="38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16" t="str">
        <f>IF($L274&lt;&gt;"","Purpose "&amp;CHAR(10)&amp;$L274&amp;CHAR(10)&amp;CHAR(10),"")&amp;
IF($M274&lt;&gt;"","Stops (in order) "&amp;CHAR(10)&amp;$M274&amp;CHAR(10)&amp;CHAR(10),"")&amp;
IF($N274&lt;&gt;"","To-Do (hard requirements) "&amp;CHAR(10)&amp;$N274&amp;CHAR(10)&amp;CHAR(10),"")&amp;
IF($O274&lt;&gt;"","Suggested Timeline "&amp;CHAR(10)&amp;$O274&amp;CHAR(10)&amp;CHAR(10),"")&amp;
IF($P274&lt;&gt;"","Guardrails "&amp;CHAR(10)&amp;$P274&amp;CHAR(10)&amp;CHAR(10),"")&amp;
IF($Q274&lt;&gt;"","Completion signals "&amp;CHAR(10)&amp;$Q274,"")</f>
        <v/>
      </c>
      <c r="S274" s="25"/>
      <c r="T274" s="25"/>
      <c r="U274" s="8"/>
      <c r="V274" s="8" t="str">
        <f>_xlfn.SINGLE(IF($B274 = "", "", IF(_xlfn.SINGLE(_xlfn.TEXTJOIN(" | ", TRUE, IF($B274 = "", "Missing Title", ""), IF($C274 = "", "Missing Date", ""), IF($D274 = "", "Missing Start", ""), IF($E274 = "", "Missing End", ""), IF($G274 = "", "Missing Required Attendees", ""), IF($T274 = "", "Missing Status", ""), IF(AND($D274 &lt;&gt; "", $E274 &lt;&gt; "", $D274 &gt;= $E274), "Start&gt;=End", ""), IF(OR($R274 = "", LEN($R274) &lt; 60, ISNUMBER(MATCH(TRIM($R274), StatusList, 0))), "Body overwritten/short", ""))) = "", "OK", _xlfn.TEXTJOIN(" | ", TRUE, IF($B274 = "", "Missing Title", ""), IF($C274 = "", "Missing Date", ""), IF($D274 = "", "Missing Start", ""), IF($E274 = "", "Missing End", ""), IF($G274 = "", "Missing Required Attendees", ""), IF($T274 = "", "Missing Status", ""), IF(AND($D274 &lt;&gt; "", $E274 &lt;&gt; "", $D274 &gt;= $E274), "Start&gt;=End", ""), IF(OR($R274 = "", LEN($R274) &lt; 60, ISNUMBER(MATCH(TRIM($R274), StatusList, 0))), "Body overwritten/short", "")))))</f>
        <v/>
      </c>
    </row>
    <row r="275" spans="2:22" ht="12.75" customHeight="1">
      <c r="B275" s="25"/>
      <c r="C275" s="34"/>
      <c r="D275" s="38"/>
      <c r="E275" s="38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16" t="str">
        <f>IF($L275&lt;&gt;"","Purpose "&amp;CHAR(10)&amp;$L275&amp;CHAR(10)&amp;CHAR(10),"")&amp;
IF($M275&lt;&gt;"","Stops (in order) "&amp;CHAR(10)&amp;$M275&amp;CHAR(10)&amp;CHAR(10),"")&amp;
IF($N275&lt;&gt;"","To-Do (hard requirements) "&amp;CHAR(10)&amp;$N275&amp;CHAR(10)&amp;CHAR(10),"")&amp;
IF($O275&lt;&gt;"","Suggested Timeline "&amp;CHAR(10)&amp;$O275&amp;CHAR(10)&amp;CHAR(10),"")&amp;
IF($P275&lt;&gt;"","Guardrails "&amp;CHAR(10)&amp;$P275&amp;CHAR(10)&amp;CHAR(10),"")&amp;
IF($Q275&lt;&gt;"","Completion signals "&amp;CHAR(10)&amp;$Q275,"")</f>
        <v/>
      </c>
      <c r="S275" s="25"/>
      <c r="T275" s="25"/>
      <c r="U275" s="8"/>
      <c r="V275" s="8" t="str">
        <f>_xlfn.SINGLE(IF($B275 = "", "", IF(_xlfn.SINGLE(_xlfn.TEXTJOIN(" | ", TRUE, IF($B275 = "", "Missing Title", ""), IF($C275 = "", "Missing Date", ""), IF($D275 = "", "Missing Start", ""), IF($E275 = "", "Missing End", ""), IF($G275 = "", "Missing Required Attendees", ""), IF($T275 = "", "Missing Status", ""), IF(AND($D275 &lt;&gt; "", $E275 &lt;&gt; "", $D275 &gt;= $E275), "Start&gt;=End", ""), IF(OR($R275 = "", LEN($R275) &lt; 60, ISNUMBER(MATCH(TRIM($R275), StatusList, 0))), "Body overwritten/short", ""))) = "", "OK", _xlfn.TEXTJOIN(" | ", TRUE, IF($B275 = "", "Missing Title", ""), IF($C275 = "", "Missing Date", ""), IF($D275 = "", "Missing Start", ""), IF($E275 = "", "Missing End", ""), IF($G275 = "", "Missing Required Attendees", ""), IF($T275 = "", "Missing Status", ""), IF(AND($D275 &lt;&gt; "", $E275 &lt;&gt; "", $D275 &gt;= $E275), "Start&gt;=End", ""), IF(OR($R275 = "", LEN($R275) &lt; 60, ISNUMBER(MATCH(TRIM($R275), StatusList, 0))), "Body overwritten/short", "")))))</f>
        <v/>
      </c>
    </row>
    <row r="276" spans="2:22" ht="12.75" customHeight="1">
      <c r="B276" s="25"/>
      <c r="C276" s="34"/>
      <c r="D276" s="38"/>
      <c r="E276" s="38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16" t="str">
        <f>IF($L276&lt;&gt;"","Purpose "&amp;CHAR(10)&amp;$L276&amp;CHAR(10)&amp;CHAR(10),"")&amp;
IF($M276&lt;&gt;"","Stops (in order) "&amp;CHAR(10)&amp;$M276&amp;CHAR(10)&amp;CHAR(10),"")&amp;
IF($N276&lt;&gt;"","To-Do (hard requirements) "&amp;CHAR(10)&amp;$N276&amp;CHAR(10)&amp;CHAR(10),"")&amp;
IF($O276&lt;&gt;"","Suggested Timeline "&amp;CHAR(10)&amp;$O276&amp;CHAR(10)&amp;CHAR(10),"")&amp;
IF($P276&lt;&gt;"","Guardrails "&amp;CHAR(10)&amp;$P276&amp;CHAR(10)&amp;CHAR(10),"")&amp;
IF($Q276&lt;&gt;"","Completion signals "&amp;CHAR(10)&amp;$Q276,"")</f>
        <v/>
      </c>
      <c r="S276" s="25"/>
      <c r="T276" s="25"/>
      <c r="U276" s="8"/>
      <c r="V276" s="8" t="str">
        <f>_xlfn.SINGLE(IF($B276 = "", "", IF(_xlfn.SINGLE(_xlfn.TEXTJOIN(" | ", TRUE, IF($B276 = "", "Missing Title", ""), IF($C276 = "", "Missing Date", ""), IF($D276 = "", "Missing Start", ""), IF($E276 = "", "Missing End", ""), IF($G276 = "", "Missing Required Attendees", ""), IF($T276 = "", "Missing Status", ""), IF(AND($D276 &lt;&gt; "", $E276 &lt;&gt; "", $D276 &gt;= $E276), "Start&gt;=End", ""), IF(OR($R276 = "", LEN($R276) &lt; 60, ISNUMBER(MATCH(TRIM($R276), StatusList, 0))), "Body overwritten/short", ""))) = "", "OK", _xlfn.TEXTJOIN(" | ", TRUE, IF($B276 = "", "Missing Title", ""), IF($C276 = "", "Missing Date", ""), IF($D276 = "", "Missing Start", ""), IF($E276 = "", "Missing End", ""), IF($G276 = "", "Missing Required Attendees", ""), IF($T276 = "", "Missing Status", ""), IF(AND($D276 &lt;&gt; "", $E276 &lt;&gt; "", $D276 &gt;= $E276), "Start&gt;=End", ""), IF(OR($R276 = "", LEN($R276) &lt; 60, ISNUMBER(MATCH(TRIM($R276), StatusList, 0))), "Body overwritten/short", "")))))</f>
        <v/>
      </c>
    </row>
    <row r="277" spans="2:22" ht="12.75" customHeight="1">
      <c r="B277" s="25"/>
      <c r="C277" s="34"/>
      <c r="D277" s="38"/>
      <c r="E277" s="38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16" t="str">
        <f>IF($L277&lt;&gt;"","Purpose "&amp;CHAR(10)&amp;$L277&amp;CHAR(10)&amp;CHAR(10),"")&amp;
IF($M277&lt;&gt;"","Stops (in order) "&amp;CHAR(10)&amp;$M277&amp;CHAR(10)&amp;CHAR(10),"")&amp;
IF($N277&lt;&gt;"","To-Do (hard requirements) "&amp;CHAR(10)&amp;$N277&amp;CHAR(10)&amp;CHAR(10),"")&amp;
IF($O277&lt;&gt;"","Suggested Timeline "&amp;CHAR(10)&amp;$O277&amp;CHAR(10)&amp;CHAR(10),"")&amp;
IF($P277&lt;&gt;"","Guardrails "&amp;CHAR(10)&amp;$P277&amp;CHAR(10)&amp;CHAR(10),"")&amp;
IF($Q277&lt;&gt;"","Completion signals "&amp;CHAR(10)&amp;$Q277,"")</f>
        <v/>
      </c>
      <c r="S277" s="25"/>
      <c r="T277" s="25"/>
      <c r="U277" s="8"/>
      <c r="V277" s="8" t="str">
        <f>_xlfn.SINGLE(IF($B277 = "", "", IF(_xlfn.SINGLE(_xlfn.TEXTJOIN(" | ", TRUE, IF($B277 = "", "Missing Title", ""), IF($C277 = "", "Missing Date", ""), IF($D277 = "", "Missing Start", ""), IF($E277 = "", "Missing End", ""), IF($G277 = "", "Missing Required Attendees", ""), IF($T277 = "", "Missing Status", ""), IF(AND($D277 &lt;&gt; "", $E277 &lt;&gt; "", $D277 &gt;= $E277), "Start&gt;=End", ""), IF(OR($R277 = "", LEN($R277) &lt; 60, ISNUMBER(MATCH(TRIM($R277), StatusList, 0))), "Body overwritten/short", ""))) = "", "OK", _xlfn.TEXTJOIN(" | ", TRUE, IF($B277 = "", "Missing Title", ""), IF($C277 = "", "Missing Date", ""), IF($D277 = "", "Missing Start", ""), IF($E277 = "", "Missing End", ""), IF($G277 = "", "Missing Required Attendees", ""), IF($T277 = "", "Missing Status", ""), IF(AND($D277 &lt;&gt; "", $E277 &lt;&gt; "", $D277 &gt;= $E277), "Start&gt;=End", ""), IF(OR($R277 = "", LEN($R277) &lt; 60, ISNUMBER(MATCH(TRIM($R277), StatusList, 0))), "Body overwritten/short", "")))))</f>
        <v/>
      </c>
    </row>
    <row r="278" spans="2:22" ht="12.75" customHeight="1">
      <c r="B278" s="25"/>
      <c r="C278" s="34"/>
      <c r="D278" s="38"/>
      <c r="E278" s="38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16" t="str">
        <f>IF($L278&lt;&gt;"","Purpose "&amp;CHAR(10)&amp;$L278&amp;CHAR(10)&amp;CHAR(10),"")&amp;
IF($M278&lt;&gt;"","Stops (in order) "&amp;CHAR(10)&amp;$M278&amp;CHAR(10)&amp;CHAR(10),"")&amp;
IF($N278&lt;&gt;"","To-Do (hard requirements) "&amp;CHAR(10)&amp;$N278&amp;CHAR(10)&amp;CHAR(10),"")&amp;
IF($O278&lt;&gt;"","Suggested Timeline "&amp;CHAR(10)&amp;$O278&amp;CHAR(10)&amp;CHAR(10),"")&amp;
IF($P278&lt;&gt;"","Guardrails "&amp;CHAR(10)&amp;$P278&amp;CHAR(10)&amp;CHAR(10),"")&amp;
IF($Q278&lt;&gt;"","Completion signals "&amp;CHAR(10)&amp;$Q278,"")</f>
        <v/>
      </c>
      <c r="S278" s="25"/>
      <c r="T278" s="25"/>
      <c r="U278" s="8"/>
      <c r="V278" s="8" t="str">
        <f>_xlfn.SINGLE(IF($B278 = "", "", IF(_xlfn.SINGLE(_xlfn.TEXTJOIN(" | ", TRUE, IF($B278 = "", "Missing Title", ""), IF($C278 = "", "Missing Date", ""), IF($D278 = "", "Missing Start", ""), IF($E278 = "", "Missing End", ""), IF($G278 = "", "Missing Required Attendees", ""), IF($T278 = "", "Missing Status", ""), IF(AND($D278 &lt;&gt; "", $E278 &lt;&gt; "", $D278 &gt;= $E278), "Start&gt;=End", ""), IF(OR($R278 = "", LEN($R278) &lt; 60, ISNUMBER(MATCH(TRIM($R278), StatusList, 0))), "Body overwritten/short", ""))) = "", "OK", _xlfn.TEXTJOIN(" | ", TRUE, IF($B278 = "", "Missing Title", ""), IF($C278 = "", "Missing Date", ""), IF($D278 = "", "Missing Start", ""), IF($E278 = "", "Missing End", ""), IF($G278 = "", "Missing Required Attendees", ""), IF($T278 = "", "Missing Status", ""), IF(AND($D278 &lt;&gt; "", $E278 &lt;&gt; "", $D278 &gt;= $E278), "Start&gt;=End", ""), IF(OR($R278 = "", LEN($R278) &lt; 60, ISNUMBER(MATCH(TRIM($R278), StatusList, 0))), "Body overwritten/short", "")))))</f>
        <v/>
      </c>
    </row>
    <row r="279" spans="2:22" ht="12.75" customHeight="1">
      <c r="B279" s="25"/>
      <c r="C279" s="34"/>
      <c r="D279" s="38"/>
      <c r="E279" s="38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16" t="str">
        <f>IF($L279&lt;&gt;"","Purpose "&amp;CHAR(10)&amp;$L279&amp;CHAR(10)&amp;CHAR(10),"")&amp;
IF($M279&lt;&gt;"","Stops (in order) "&amp;CHAR(10)&amp;$M279&amp;CHAR(10)&amp;CHAR(10),"")&amp;
IF($N279&lt;&gt;"","To-Do (hard requirements) "&amp;CHAR(10)&amp;$N279&amp;CHAR(10)&amp;CHAR(10),"")&amp;
IF($O279&lt;&gt;"","Suggested Timeline "&amp;CHAR(10)&amp;$O279&amp;CHAR(10)&amp;CHAR(10),"")&amp;
IF($P279&lt;&gt;"","Guardrails "&amp;CHAR(10)&amp;$P279&amp;CHAR(10)&amp;CHAR(10),"")&amp;
IF($Q279&lt;&gt;"","Completion signals "&amp;CHAR(10)&amp;$Q279,"")</f>
        <v/>
      </c>
      <c r="S279" s="25"/>
      <c r="T279" s="25"/>
      <c r="U279" s="8"/>
      <c r="V279" s="8" t="str">
        <f>_xlfn.SINGLE(IF($B279 = "", "", IF(_xlfn.SINGLE(_xlfn.TEXTJOIN(" | ", TRUE, IF($B279 = "", "Missing Title", ""), IF($C279 = "", "Missing Date", ""), IF($D279 = "", "Missing Start", ""), IF($E279 = "", "Missing End", ""), IF($G279 = "", "Missing Required Attendees", ""), IF($T279 = "", "Missing Status", ""), IF(AND($D279 &lt;&gt; "", $E279 &lt;&gt; "", $D279 &gt;= $E279), "Start&gt;=End", ""), IF(OR($R279 = "", LEN($R279) &lt; 60, ISNUMBER(MATCH(TRIM($R279), StatusList, 0))), "Body overwritten/short", ""))) = "", "OK", _xlfn.TEXTJOIN(" | ", TRUE, IF($B279 = "", "Missing Title", ""), IF($C279 = "", "Missing Date", ""), IF($D279 = "", "Missing Start", ""), IF($E279 = "", "Missing End", ""), IF($G279 = "", "Missing Required Attendees", ""), IF($T279 = "", "Missing Status", ""), IF(AND($D279 &lt;&gt; "", $E279 &lt;&gt; "", $D279 &gt;= $E279), "Start&gt;=End", ""), IF(OR($R279 = "", LEN($R279) &lt; 60, ISNUMBER(MATCH(TRIM($R279), StatusList, 0))), "Body overwritten/short", "")))))</f>
        <v/>
      </c>
    </row>
    <row r="280" spans="2:22" ht="12.75" customHeight="1">
      <c r="B280" s="25"/>
      <c r="C280" s="34"/>
      <c r="D280" s="38"/>
      <c r="E280" s="38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16" t="str">
        <f>IF($L280&lt;&gt;"","Purpose "&amp;CHAR(10)&amp;$L280&amp;CHAR(10)&amp;CHAR(10),"")&amp;
IF($M280&lt;&gt;"","Stops (in order) "&amp;CHAR(10)&amp;$M280&amp;CHAR(10)&amp;CHAR(10),"")&amp;
IF($N280&lt;&gt;"","To-Do (hard requirements) "&amp;CHAR(10)&amp;$N280&amp;CHAR(10)&amp;CHAR(10),"")&amp;
IF($O280&lt;&gt;"","Suggested Timeline "&amp;CHAR(10)&amp;$O280&amp;CHAR(10)&amp;CHAR(10),"")&amp;
IF($P280&lt;&gt;"","Guardrails "&amp;CHAR(10)&amp;$P280&amp;CHAR(10)&amp;CHAR(10),"")&amp;
IF($Q280&lt;&gt;"","Completion signals "&amp;CHAR(10)&amp;$Q280,"")</f>
        <v/>
      </c>
      <c r="S280" s="25"/>
      <c r="T280" s="25"/>
      <c r="U280" s="8"/>
      <c r="V280" s="8" t="str">
        <f>_xlfn.SINGLE(IF($B280 = "", "", IF(_xlfn.SINGLE(_xlfn.TEXTJOIN(" | ", TRUE, IF($B280 = "", "Missing Title", ""), IF($C280 = "", "Missing Date", ""), IF($D280 = "", "Missing Start", ""), IF($E280 = "", "Missing End", ""), IF($G280 = "", "Missing Required Attendees", ""), IF($T280 = "", "Missing Status", ""), IF(AND($D280 &lt;&gt; "", $E280 &lt;&gt; "", $D280 &gt;= $E280), "Start&gt;=End", ""), IF(OR($R280 = "", LEN($R280) &lt; 60, ISNUMBER(MATCH(TRIM($R280), StatusList, 0))), "Body overwritten/short", ""))) = "", "OK", _xlfn.TEXTJOIN(" | ", TRUE, IF($B280 = "", "Missing Title", ""), IF($C280 = "", "Missing Date", ""), IF($D280 = "", "Missing Start", ""), IF($E280 = "", "Missing End", ""), IF($G280 = "", "Missing Required Attendees", ""), IF($T280 = "", "Missing Status", ""), IF(AND($D280 &lt;&gt; "", $E280 &lt;&gt; "", $D280 &gt;= $E280), "Start&gt;=End", ""), IF(OR($R280 = "", LEN($R280) &lt; 60, ISNUMBER(MATCH(TRIM($R280), StatusList, 0))), "Body overwritten/short", "")))))</f>
        <v/>
      </c>
    </row>
    <row r="281" spans="2:22" ht="12.75" customHeight="1">
      <c r="B281" s="25"/>
      <c r="C281" s="34"/>
      <c r="D281" s="38"/>
      <c r="E281" s="38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16" t="str">
        <f>IF($L281&lt;&gt;"","Purpose "&amp;CHAR(10)&amp;$L281&amp;CHAR(10)&amp;CHAR(10),"")&amp;
IF($M281&lt;&gt;"","Stops (in order) "&amp;CHAR(10)&amp;$M281&amp;CHAR(10)&amp;CHAR(10),"")&amp;
IF($N281&lt;&gt;"","To-Do (hard requirements) "&amp;CHAR(10)&amp;$N281&amp;CHAR(10)&amp;CHAR(10),"")&amp;
IF($O281&lt;&gt;"","Suggested Timeline "&amp;CHAR(10)&amp;$O281&amp;CHAR(10)&amp;CHAR(10),"")&amp;
IF($P281&lt;&gt;"","Guardrails "&amp;CHAR(10)&amp;$P281&amp;CHAR(10)&amp;CHAR(10),"")&amp;
IF($Q281&lt;&gt;"","Completion signals "&amp;CHAR(10)&amp;$Q281,"")</f>
        <v/>
      </c>
      <c r="S281" s="25"/>
      <c r="T281" s="25"/>
      <c r="U281" s="8"/>
      <c r="V281" s="8" t="str">
        <f>_xlfn.SINGLE(IF($B281 = "", "", IF(_xlfn.SINGLE(_xlfn.TEXTJOIN(" | ", TRUE, IF($B281 = "", "Missing Title", ""), IF($C281 = "", "Missing Date", ""), IF($D281 = "", "Missing Start", ""), IF($E281 = "", "Missing End", ""), IF($G281 = "", "Missing Required Attendees", ""), IF($T281 = "", "Missing Status", ""), IF(AND($D281 &lt;&gt; "", $E281 &lt;&gt; "", $D281 &gt;= $E281), "Start&gt;=End", ""), IF(OR($R281 = "", LEN($R281) &lt; 60, ISNUMBER(MATCH(TRIM($R281), StatusList, 0))), "Body overwritten/short", ""))) = "", "OK", _xlfn.TEXTJOIN(" | ", TRUE, IF($B281 = "", "Missing Title", ""), IF($C281 = "", "Missing Date", ""), IF($D281 = "", "Missing Start", ""), IF($E281 = "", "Missing End", ""), IF($G281 = "", "Missing Required Attendees", ""), IF($T281 = "", "Missing Status", ""), IF(AND($D281 &lt;&gt; "", $E281 &lt;&gt; "", $D281 &gt;= $E281), "Start&gt;=End", ""), IF(OR($R281 = "", LEN($R281) &lt; 60, ISNUMBER(MATCH(TRIM($R281), StatusList, 0))), "Body overwritten/short", "")))))</f>
        <v/>
      </c>
    </row>
    <row r="282" spans="2:22" ht="12.75" customHeight="1">
      <c r="B282" s="25"/>
      <c r="C282" s="34"/>
      <c r="D282" s="38"/>
      <c r="E282" s="38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16" t="str">
        <f>IF($L282&lt;&gt;"","Purpose "&amp;CHAR(10)&amp;$L282&amp;CHAR(10)&amp;CHAR(10),"")&amp;
IF($M282&lt;&gt;"","Stops (in order) "&amp;CHAR(10)&amp;$M282&amp;CHAR(10)&amp;CHAR(10),"")&amp;
IF($N282&lt;&gt;"","To-Do (hard requirements) "&amp;CHAR(10)&amp;$N282&amp;CHAR(10)&amp;CHAR(10),"")&amp;
IF($O282&lt;&gt;"","Suggested Timeline "&amp;CHAR(10)&amp;$O282&amp;CHAR(10)&amp;CHAR(10),"")&amp;
IF($P282&lt;&gt;"","Guardrails "&amp;CHAR(10)&amp;$P282&amp;CHAR(10)&amp;CHAR(10),"")&amp;
IF($Q282&lt;&gt;"","Completion signals "&amp;CHAR(10)&amp;$Q282,"")</f>
        <v/>
      </c>
      <c r="S282" s="25"/>
      <c r="T282" s="25"/>
      <c r="U282" s="8"/>
      <c r="V282" s="8" t="str">
        <f>_xlfn.SINGLE(IF($B282 = "", "", IF(_xlfn.SINGLE(_xlfn.TEXTJOIN(" | ", TRUE, IF($B282 = "", "Missing Title", ""), IF($C282 = "", "Missing Date", ""), IF($D282 = "", "Missing Start", ""), IF($E282 = "", "Missing End", ""), IF($G282 = "", "Missing Required Attendees", ""), IF($T282 = "", "Missing Status", ""), IF(AND($D282 &lt;&gt; "", $E282 &lt;&gt; "", $D282 &gt;= $E282), "Start&gt;=End", ""), IF(OR($R282 = "", LEN($R282) &lt; 60, ISNUMBER(MATCH(TRIM($R282), StatusList, 0))), "Body overwritten/short", ""))) = "", "OK", _xlfn.TEXTJOIN(" | ", TRUE, IF($B282 = "", "Missing Title", ""), IF($C282 = "", "Missing Date", ""), IF($D282 = "", "Missing Start", ""), IF($E282 = "", "Missing End", ""), IF($G282 = "", "Missing Required Attendees", ""), IF($T282 = "", "Missing Status", ""), IF(AND($D282 &lt;&gt; "", $E282 &lt;&gt; "", $D282 &gt;= $E282), "Start&gt;=End", ""), IF(OR($R282 = "", LEN($R282) &lt; 60, ISNUMBER(MATCH(TRIM($R282), StatusList, 0))), "Body overwritten/short", "")))))</f>
        <v/>
      </c>
    </row>
    <row r="283" spans="2:22" ht="12.75" customHeight="1">
      <c r="B283" s="25"/>
      <c r="C283" s="34"/>
      <c r="D283" s="38"/>
      <c r="E283" s="38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16" t="str">
        <f>IF($L283&lt;&gt;"","Purpose "&amp;CHAR(10)&amp;$L283&amp;CHAR(10)&amp;CHAR(10),"")&amp;
IF($M283&lt;&gt;"","Stops (in order) "&amp;CHAR(10)&amp;$M283&amp;CHAR(10)&amp;CHAR(10),"")&amp;
IF($N283&lt;&gt;"","To-Do (hard requirements) "&amp;CHAR(10)&amp;$N283&amp;CHAR(10)&amp;CHAR(10),"")&amp;
IF($O283&lt;&gt;"","Suggested Timeline "&amp;CHAR(10)&amp;$O283&amp;CHAR(10)&amp;CHAR(10),"")&amp;
IF($P283&lt;&gt;"","Guardrails "&amp;CHAR(10)&amp;$P283&amp;CHAR(10)&amp;CHAR(10),"")&amp;
IF($Q283&lt;&gt;"","Completion signals "&amp;CHAR(10)&amp;$Q283,"")</f>
        <v/>
      </c>
      <c r="S283" s="25"/>
      <c r="T283" s="25"/>
      <c r="U283" s="8"/>
      <c r="V283" s="8" t="str">
        <f>_xlfn.SINGLE(IF($B283 = "", "", IF(_xlfn.SINGLE(_xlfn.TEXTJOIN(" | ", TRUE, IF($B283 = "", "Missing Title", ""), IF($C283 = "", "Missing Date", ""), IF($D283 = "", "Missing Start", ""), IF($E283 = "", "Missing End", ""), IF($G283 = "", "Missing Required Attendees", ""), IF($T283 = "", "Missing Status", ""), IF(AND($D283 &lt;&gt; "", $E283 &lt;&gt; "", $D283 &gt;= $E283), "Start&gt;=End", ""), IF(OR($R283 = "", LEN($R283) &lt; 60, ISNUMBER(MATCH(TRIM($R283), StatusList, 0))), "Body overwritten/short", ""))) = "", "OK", _xlfn.TEXTJOIN(" | ", TRUE, IF($B283 = "", "Missing Title", ""), IF($C283 = "", "Missing Date", ""), IF($D283 = "", "Missing Start", ""), IF($E283 = "", "Missing End", ""), IF($G283 = "", "Missing Required Attendees", ""), IF($T283 = "", "Missing Status", ""), IF(AND($D283 &lt;&gt; "", $E283 &lt;&gt; "", $D283 &gt;= $E283), "Start&gt;=End", ""), IF(OR($R283 = "", LEN($R283) &lt; 60, ISNUMBER(MATCH(TRIM($R283), StatusList, 0))), "Body overwritten/short", "")))))</f>
        <v/>
      </c>
    </row>
    <row r="284" spans="2:22" ht="12.75" customHeight="1">
      <c r="B284" s="25"/>
      <c r="C284" s="34"/>
      <c r="D284" s="38"/>
      <c r="E284" s="38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16" t="str">
        <f>IF($L284&lt;&gt;"","Purpose "&amp;CHAR(10)&amp;$L284&amp;CHAR(10)&amp;CHAR(10),"")&amp;
IF($M284&lt;&gt;"","Stops (in order) "&amp;CHAR(10)&amp;$M284&amp;CHAR(10)&amp;CHAR(10),"")&amp;
IF($N284&lt;&gt;"","To-Do (hard requirements) "&amp;CHAR(10)&amp;$N284&amp;CHAR(10)&amp;CHAR(10),"")&amp;
IF($O284&lt;&gt;"","Suggested Timeline "&amp;CHAR(10)&amp;$O284&amp;CHAR(10)&amp;CHAR(10),"")&amp;
IF($P284&lt;&gt;"","Guardrails "&amp;CHAR(10)&amp;$P284&amp;CHAR(10)&amp;CHAR(10),"")&amp;
IF($Q284&lt;&gt;"","Completion signals "&amp;CHAR(10)&amp;$Q284,"")</f>
        <v/>
      </c>
      <c r="S284" s="25"/>
      <c r="T284" s="25"/>
      <c r="U284" s="8"/>
      <c r="V284" s="8" t="str">
        <f>_xlfn.SINGLE(IF($B284 = "", "", IF(_xlfn.SINGLE(_xlfn.TEXTJOIN(" | ", TRUE, IF($B284 = "", "Missing Title", ""), IF($C284 = "", "Missing Date", ""), IF($D284 = "", "Missing Start", ""), IF($E284 = "", "Missing End", ""), IF($G284 = "", "Missing Required Attendees", ""), IF($T284 = "", "Missing Status", ""), IF(AND($D284 &lt;&gt; "", $E284 &lt;&gt; "", $D284 &gt;= $E284), "Start&gt;=End", ""), IF(OR($R284 = "", LEN($R284) &lt; 60, ISNUMBER(MATCH(TRIM($R284), StatusList, 0))), "Body overwritten/short", ""))) = "", "OK", _xlfn.TEXTJOIN(" | ", TRUE, IF($B284 = "", "Missing Title", ""), IF($C284 = "", "Missing Date", ""), IF($D284 = "", "Missing Start", ""), IF($E284 = "", "Missing End", ""), IF($G284 = "", "Missing Required Attendees", ""), IF($T284 = "", "Missing Status", ""), IF(AND($D284 &lt;&gt; "", $E284 &lt;&gt; "", $D284 &gt;= $E284), "Start&gt;=End", ""), IF(OR($R284 = "", LEN($R284) &lt; 60, ISNUMBER(MATCH(TRIM($R284), StatusList, 0))), "Body overwritten/short", "")))))</f>
        <v/>
      </c>
    </row>
    <row r="285" spans="2:22" ht="12.75" customHeight="1">
      <c r="B285" s="25"/>
      <c r="C285" s="34"/>
      <c r="D285" s="38"/>
      <c r="E285" s="38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16" t="str">
        <f>IF($L285&lt;&gt;"","Purpose "&amp;CHAR(10)&amp;$L285&amp;CHAR(10)&amp;CHAR(10),"")&amp;
IF($M285&lt;&gt;"","Stops (in order) "&amp;CHAR(10)&amp;$M285&amp;CHAR(10)&amp;CHAR(10),"")&amp;
IF($N285&lt;&gt;"","To-Do (hard requirements) "&amp;CHAR(10)&amp;$N285&amp;CHAR(10)&amp;CHAR(10),"")&amp;
IF($O285&lt;&gt;"","Suggested Timeline "&amp;CHAR(10)&amp;$O285&amp;CHAR(10)&amp;CHAR(10),"")&amp;
IF($P285&lt;&gt;"","Guardrails "&amp;CHAR(10)&amp;$P285&amp;CHAR(10)&amp;CHAR(10),"")&amp;
IF($Q285&lt;&gt;"","Completion signals "&amp;CHAR(10)&amp;$Q285,"")</f>
        <v/>
      </c>
      <c r="S285" s="25"/>
      <c r="T285" s="25"/>
      <c r="U285" s="8"/>
      <c r="V285" s="8" t="str">
        <f>_xlfn.SINGLE(IF($B285 = "", "", IF(_xlfn.SINGLE(_xlfn.TEXTJOIN(" | ", TRUE, IF($B285 = "", "Missing Title", ""), IF($C285 = "", "Missing Date", ""), IF($D285 = "", "Missing Start", ""), IF($E285 = "", "Missing End", ""), IF($G285 = "", "Missing Required Attendees", ""), IF($T285 = "", "Missing Status", ""), IF(AND($D285 &lt;&gt; "", $E285 &lt;&gt; "", $D285 &gt;= $E285), "Start&gt;=End", ""), IF(OR($R285 = "", LEN($R285) &lt; 60, ISNUMBER(MATCH(TRIM($R285), StatusList, 0))), "Body overwritten/short", ""))) = "", "OK", _xlfn.TEXTJOIN(" | ", TRUE, IF($B285 = "", "Missing Title", ""), IF($C285 = "", "Missing Date", ""), IF($D285 = "", "Missing Start", ""), IF($E285 = "", "Missing End", ""), IF($G285 = "", "Missing Required Attendees", ""), IF($T285 = "", "Missing Status", ""), IF(AND($D285 &lt;&gt; "", $E285 &lt;&gt; "", $D285 &gt;= $E285), "Start&gt;=End", ""), IF(OR($R285 = "", LEN($R285) &lt; 60, ISNUMBER(MATCH(TRIM($R285), StatusList, 0))), "Body overwritten/short", "")))))</f>
        <v/>
      </c>
    </row>
    <row r="286" spans="2:22" ht="12.75" customHeight="1">
      <c r="B286" s="25"/>
      <c r="C286" s="34"/>
      <c r="D286" s="38"/>
      <c r="E286" s="38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16" t="str">
        <f>IF($L286&lt;&gt;"","Purpose "&amp;CHAR(10)&amp;$L286&amp;CHAR(10)&amp;CHAR(10),"")&amp;
IF($M286&lt;&gt;"","Stops (in order) "&amp;CHAR(10)&amp;$M286&amp;CHAR(10)&amp;CHAR(10),"")&amp;
IF($N286&lt;&gt;"","To-Do (hard requirements) "&amp;CHAR(10)&amp;$N286&amp;CHAR(10)&amp;CHAR(10),"")&amp;
IF($O286&lt;&gt;"","Suggested Timeline "&amp;CHAR(10)&amp;$O286&amp;CHAR(10)&amp;CHAR(10),"")&amp;
IF($P286&lt;&gt;"","Guardrails "&amp;CHAR(10)&amp;$P286&amp;CHAR(10)&amp;CHAR(10),"")&amp;
IF($Q286&lt;&gt;"","Completion signals "&amp;CHAR(10)&amp;$Q286,"")</f>
        <v/>
      </c>
      <c r="S286" s="25"/>
      <c r="T286" s="25"/>
      <c r="U286" s="8"/>
      <c r="V286" s="8" t="str">
        <f>_xlfn.SINGLE(IF($B286 = "", "", IF(_xlfn.SINGLE(_xlfn.TEXTJOIN(" | ", TRUE, IF($B286 = "", "Missing Title", ""), IF($C286 = "", "Missing Date", ""), IF($D286 = "", "Missing Start", ""), IF($E286 = "", "Missing End", ""), IF($G286 = "", "Missing Required Attendees", ""), IF($T286 = "", "Missing Status", ""), IF(AND($D286 &lt;&gt; "", $E286 &lt;&gt; "", $D286 &gt;= $E286), "Start&gt;=End", ""), IF(OR($R286 = "", LEN($R286) &lt; 60, ISNUMBER(MATCH(TRIM($R286), StatusList, 0))), "Body overwritten/short", ""))) = "", "OK", _xlfn.TEXTJOIN(" | ", TRUE, IF($B286 = "", "Missing Title", ""), IF($C286 = "", "Missing Date", ""), IF($D286 = "", "Missing Start", ""), IF($E286 = "", "Missing End", ""), IF($G286 = "", "Missing Required Attendees", ""), IF($T286 = "", "Missing Status", ""), IF(AND($D286 &lt;&gt; "", $E286 &lt;&gt; "", $D286 &gt;= $E286), "Start&gt;=End", ""), IF(OR($R286 = "", LEN($R286) &lt; 60, ISNUMBER(MATCH(TRIM($R286), StatusList, 0))), "Body overwritten/short", "")))))</f>
        <v/>
      </c>
    </row>
    <row r="287" spans="2:22" ht="12.75" customHeight="1">
      <c r="B287" s="25"/>
      <c r="C287" s="34"/>
      <c r="D287" s="38"/>
      <c r="E287" s="38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16" t="str">
        <f>IF($L287&lt;&gt;"","Purpose "&amp;CHAR(10)&amp;$L287&amp;CHAR(10)&amp;CHAR(10),"")&amp;
IF($M287&lt;&gt;"","Stops (in order) "&amp;CHAR(10)&amp;$M287&amp;CHAR(10)&amp;CHAR(10),"")&amp;
IF($N287&lt;&gt;"","To-Do (hard requirements) "&amp;CHAR(10)&amp;$N287&amp;CHAR(10)&amp;CHAR(10),"")&amp;
IF($O287&lt;&gt;"","Suggested Timeline "&amp;CHAR(10)&amp;$O287&amp;CHAR(10)&amp;CHAR(10),"")&amp;
IF($P287&lt;&gt;"","Guardrails "&amp;CHAR(10)&amp;$P287&amp;CHAR(10)&amp;CHAR(10),"")&amp;
IF($Q287&lt;&gt;"","Completion signals "&amp;CHAR(10)&amp;$Q287,"")</f>
        <v/>
      </c>
      <c r="S287" s="25"/>
      <c r="T287" s="25"/>
      <c r="U287" s="8"/>
      <c r="V287" s="8" t="str">
        <f>_xlfn.SINGLE(IF($B287 = "", "", IF(_xlfn.SINGLE(_xlfn.TEXTJOIN(" | ", TRUE, IF($B287 = "", "Missing Title", ""), IF($C287 = "", "Missing Date", ""), IF($D287 = "", "Missing Start", ""), IF($E287 = "", "Missing End", ""), IF($G287 = "", "Missing Required Attendees", ""), IF($T287 = "", "Missing Status", ""), IF(AND($D287 &lt;&gt; "", $E287 &lt;&gt; "", $D287 &gt;= $E287), "Start&gt;=End", ""), IF(OR($R287 = "", LEN($R287) &lt; 60, ISNUMBER(MATCH(TRIM($R287), StatusList, 0))), "Body overwritten/short", ""))) = "", "OK", _xlfn.TEXTJOIN(" | ", TRUE, IF($B287 = "", "Missing Title", ""), IF($C287 = "", "Missing Date", ""), IF($D287 = "", "Missing Start", ""), IF($E287 = "", "Missing End", ""), IF($G287 = "", "Missing Required Attendees", ""), IF($T287 = "", "Missing Status", ""), IF(AND($D287 &lt;&gt; "", $E287 &lt;&gt; "", $D287 &gt;= $E287), "Start&gt;=End", ""), IF(OR($R287 = "", LEN($R287) &lt; 60, ISNUMBER(MATCH(TRIM($R287), StatusList, 0))), "Body overwritten/short", "")))))</f>
        <v/>
      </c>
    </row>
    <row r="288" spans="2:22" ht="12.75" customHeight="1">
      <c r="B288" s="25"/>
      <c r="C288" s="34"/>
      <c r="D288" s="38"/>
      <c r="E288" s="38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16" t="str">
        <f>IF($L288&lt;&gt;"","Purpose "&amp;CHAR(10)&amp;$L288&amp;CHAR(10)&amp;CHAR(10),"")&amp;
IF($M288&lt;&gt;"","Stops (in order) "&amp;CHAR(10)&amp;$M288&amp;CHAR(10)&amp;CHAR(10),"")&amp;
IF($N288&lt;&gt;"","To-Do (hard requirements) "&amp;CHAR(10)&amp;$N288&amp;CHAR(10)&amp;CHAR(10),"")&amp;
IF($O288&lt;&gt;"","Suggested Timeline "&amp;CHAR(10)&amp;$O288&amp;CHAR(10)&amp;CHAR(10),"")&amp;
IF($P288&lt;&gt;"","Guardrails "&amp;CHAR(10)&amp;$P288&amp;CHAR(10)&amp;CHAR(10),"")&amp;
IF($Q288&lt;&gt;"","Completion signals "&amp;CHAR(10)&amp;$Q288,"")</f>
        <v/>
      </c>
      <c r="S288" s="25"/>
      <c r="T288" s="25"/>
      <c r="U288" s="8"/>
      <c r="V288" s="8" t="str">
        <f>_xlfn.SINGLE(IF($B288 = "", "", IF(_xlfn.SINGLE(_xlfn.TEXTJOIN(" | ", TRUE, IF($B288 = "", "Missing Title", ""), IF($C288 = "", "Missing Date", ""), IF($D288 = "", "Missing Start", ""), IF($E288 = "", "Missing End", ""), IF($G288 = "", "Missing Required Attendees", ""), IF($T288 = "", "Missing Status", ""), IF(AND($D288 &lt;&gt; "", $E288 &lt;&gt; "", $D288 &gt;= $E288), "Start&gt;=End", ""), IF(OR($R288 = "", LEN($R288) &lt; 60, ISNUMBER(MATCH(TRIM($R288), StatusList, 0))), "Body overwritten/short", ""))) = "", "OK", _xlfn.TEXTJOIN(" | ", TRUE, IF($B288 = "", "Missing Title", ""), IF($C288 = "", "Missing Date", ""), IF($D288 = "", "Missing Start", ""), IF($E288 = "", "Missing End", ""), IF($G288 = "", "Missing Required Attendees", ""), IF($T288 = "", "Missing Status", ""), IF(AND($D288 &lt;&gt; "", $E288 &lt;&gt; "", $D288 &gt;= $E288), "Start&gt;=End", ""), IF(OR($R288 = "", LEN($R288) &lt; 60, ISNUMBER(MATCH(TRIM($R288), StatusList, 0))), "Body overwritten/short", "")))))</f>
        <v/>
      </c>
    </row>
    <row r="289" spans="2:22" ht="12.75" customHeight="1">
      <c r="B289" s="25"/>
      <c r="C289" s="34"/>
      <c r="D289" s="38"/>
      <c r="E289" s="38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16" t="str">
        <f>IF($L289&lt;&gt;"","Purpose "&amp;CHAR(10)&amp;$L289&amp;CHAR(10)&amp;CHAR(10),"")&amp;
IF($M289&lt;&gt;"","Stops (in order) "&amp;CHAR(10)&amp;$M289&amp;CHAR(10)&amp;CHAR(10),"")&amp;
IF($N289&lt;&gt;"","To-Do (hard requirements) "&amp;CHAR(10)&amp;$N289&amp;CHAR(10)&amp;CHAR(10),"")&amp;
IF($O289&lt;&gt;"","Suggested Timeline "&amp;CHAR(10)&amp;$O289&amp;CHAR(10)&amp;CHAR(10),"")&amp;
IF($P289&lt;&gt;"","Guardrails "&amp;CHAR(10)&amp;$P289&amp;CHAR(10)&amp;CHAR(10),"")&amp;
IF($Q289&lt;&gt;"","Completion signals "&amp;CHAR(10)&amp;$Q289,"")</f>
        <v/>
      </c>
      <c r="S289" s="25"/>
      <c r="T289" s="25"/>
      <c r="U289" s="8"/>
      <c r="V289" s="8" t="str">
        <f>_xlfn.SINGLE(IF($B289 = "", "", IF(_xlfn.SINGLE(_xlfn.TEXTJOIN(" | ", TRUE, IF($B289 = "", "Missing Title", ""), IF($C289 = "", "Missing Date", ""), IF($D289 = "", "Missing Start", ""), IF($E289 = "", "Missing End", ""), IF($G289 = "", "Missing Required Attendees", ""), IF($T289 = "", "Missing Status", ""), IF(AND($D289 &lt;&gt; "", $E289 &lt;&gt; "", $D289 &gt;= $E289), "Start&gt;=End", ""), IF(OR($R289 = "", LEN($R289) &lt; 60, ISNUMBER(MATCH(TRIM($R289), StatusList, 0))), "Body overwritten/short", ""))) = "", "OK", _xlfn.TEXTJOIN(" | ", TRUE, IF($B289 = "", "Missing Title", ""), IF($C289 = "", "Missing Date", ""), IF($D289 = "", "Missing Start", ""), IF($E289 = "", "Missing End", ""), IF($G289 = "", "Missing Required Attendees", ""), IF($T289 = "", "Missing Status", ""), IF(AND($D289 &lt;&gt; "", $E289 &lt;&gt; "", $D289 &gt;= $E289), "Start&gt;=End", ""), IF(OR($R289 = "", LEN($R289) &lt; 60, ISNUMBER(MATCH(TRIM($R289), StatusList, 0))), "Body overwritten/short", "")))))</f>
        <v/>
      </c>
    </row>
    <row r="290" spans="2:22" ht="12.75" customHeight="1">
      <c r="B290" s="25"/>
      <c r="C290" s="34"/>
      <c r="D290" s="38"/>
      <c r="E290" s="38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16" t="str">
        <f>IF($L290&lt;&gt;"","Purpose "&amp;CHAR(10)&amp;$L290&amp;CHAR(10)&amp;CHAR(10),"")&amp;
IF($M290&lt;&gt;"","Stops (in order) "&amp;CHAR(10)&amp;$M290&amp;CHAR(10)&amp;CHAR(10),"")&amp;
IF($N290&lt;&gt;"","To-Do (hard requirements) "&amp;CHAR(10)&amp;$N290&amp;CHAR(10)&amp;CHAR(10),"")&amp;
IF($O290&lt;&gt;"","Suggested Timeline "&amp;CHAR(10)&amp;$O290&amp;CHAR(10)&amp;CHAR(10),"")&amp;
IF($P290&lt;&gt;"","Guardrails "&amp;CHAR(10)&amp;$P290&amp;CHAR(10)&amp;CHAR(10),"")&amp;
IF($Q290&lt;&gt;"","Completion signals "&amp;CHAR(10)&amp;$Q290,"")</f>
        <v/>
      </c>
      <c r="S290" s="25"/>
      <c r="T290" s="25"/>
      <c r="U290" s="8"/>
      <c r="V290" s="8" t="str">
        <f>_xlfn.SINGLE(IF($B290 = "", "", IF(_xlfn.SINGLE(_xlfn.TEXTJOIN(" | ", TRUE, IF($B290 = "", "Missing Title", ""), IF($C290 = "", "Missing Date", ""), IF($D290 = "", "Missing Start", ""), IF($E290 = "", "Missing End", ""), IF($G290 = "", "Missing Required Attendees", ""), IF($T290 = "", "Missing Status", ""), IF(AND($D290 &lt;&gt; "", $E290 &lt;&gt; "", $D290 &gt;= $E290), "Start&gt;=End", ""), IF(OR($R290 = "", LEN($R290) &lt; 60, ISNUMBER(MATCH(TRIM($R290), StatusList, 0))), "Body overwritten/short", ""))) = "", "OK", _xlfn.TEXTJOIN(" | ", TRUE, IF($B290 = "", "Missing Title", ""), IF($C290 = "", "Missing Date", ""), IF($D290 = "", "Missing Start", ""), IF($E290 = "", "Missing End", ""), IF($G290 = "", "Missing Required Attendees", ""), IF($T290 = "", "Missing Status", ""), IF(AND($D290 &lt;&gt; "", $E290 &lt;&gt; "", $D290 &gt;= $E290), "Start&gt;=End", ""), IF(OR($R290 = "", LEN($R290) &lt; 60, ISNUMBER(MATCH(TRIM($R290), StatusList, 0))), "Body overwritten/short", "")))))</f>
        <v/>
      </c>
    </row>
    <row r="291" spans="2:22" ht="12.75" customHeight="1">
      <c r="B291" s="25"/>
      <c r="C291" s="34"/>
      <c r="D291" s="38"/>
      <c r="E291" s="38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16" t="str">
        <f>IF($L291&lt;&gt;"","Purpose "&amp;CHAR(10)&amp;$L291&amp;CHAR(10)&amp;CHAR(10),"")&amp;
IF($M291&lt;&gt;"","Stops (in order) "&amp;CHAR(10)&amp;$M291&amp;CHAR(10)&amp;CHAR(10),"")&amp;
IF($N291&lt;&gt;"","To-Do (hard requirements) "&amp;CHAR(10)&amp;$N291&amp;CHAR(10)&amp;CHAR(10),"")&amp;
IF($O291&lt;&gt;"","Suggested Timeline "&amp;CHAR(10)&amp;$O291&amp;CHAR(10)&amp;CHAR(10),"")&amp;
IF($P291&lt;&gt;"","Guardrails "&amp;CHAR(10)&amp;$P291&amp;CHAR(10)&amp;CHAR(10),"")&amp;
IF($Q291&lt;&gt;"","Completion signals "&amp;CHAR(10)&amp;$Q291,"")</f>
        <v/>
      </c>
      <c r="S291" s="25"/>
      <c r="T291" s="25"/>
      <c r="U291" s="8"/>
      <c r="V291" s="8" t="str">
        <f>_xlfn.SINGLE(IF($B291 = "", "", IF(_xlfn.SINGLE(_xlfn.TEXTJOIN(" | ", TRUE, IF($B291 = "", "Missing Title", ""), IF($C291 = "", "Missing Date", ""), IF($D291 = "", "Missing Start", ""), IF($E291 = "", "Missing End", ""), IF($G291 = "", "Missing Required Attendees", ""), IF($T291 = "", "Missing Status", ""), IF(AND($D291 &lt;&gt; "", $E291 &lt;&gt; "", $D291 &gt;= $E291), "Start&gt;=End", ""), IF(OR($R291 = "", LEN($R291) &lt; 60, ISNUMBER(MATCH(TRIM($R291), StatusList, 0))), "Body overwritten/short", ""))) = "", "OK", _xlfn.TEXTJOIN(" | ", TRUE, IF($B291 = "", "Missing Title", ""), IF($C291 = "", "Missing Date", ""), IF($D291 = "", "Missing Start", ""), IF($E291 = "", "Missing End", ""), IF($G291 = "", "Missing Required Attendees", ""), IF($T291 = "", "Missing Status", ""), IF(AND($D291 &lt;&gt; "", $E291 &lt;&gt; "", $D291 &gt;= $E291), "Start&gt;=End", ""), IF(OR($R291 = "", LEN($R291) &lt; 60, ISNUMBER(MATCH(TRIM($R291), StatusList, 0))), "Body overwritten/short", "")))))</f>
        <v/>
      </c>
    </row>
    <row r="292" spans="2:22" ht="12.75" customHeight="1">
      <c r="B292" s="25"/>
      <c r="C292" s="34"/>
      <c r="D292" s="38"/>
      <c r="E292" s="38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16" t="str">
        <f>IF($L292&lt;&gt;"","Purpose "&amp;CHAR(10)&amp;$L292&amp;CHAR(10)&amp;CHAR(10),"")&amp;
IF($M292&lt;&gt;"","Stops (in order) "&amp;CHAR(10)&amp;$M292&amp;CHAR(10)&amp;CHAR(10),"")&amp;
IF($N292&lt;&gt;"","To-Do (hard requirements) "&amp;CHAR(10)&amp;$N292&amp;CHAR(10)&amp;CHAR(10),"")&amp;
IF($O292&lt;&gt;"","Suggested Timeline "&amp;CHAR(10)&amp;$O292&amp;CHAR(10)&amp;CHAR(10),"")&amp;
IF($P292&lt;&gt;"","Guardrails "&amp;CHAR(10)&amp;$P292&amp;CHAR(10)&amp;CHAR(10),"")&amp;
IF($Q292&lt;&gt;"","Completion signals "&amp;CHAR(10)&amp;$Q292,"")</f>
        <v/>
      </c>
      <c r="S292" s="25"/>
      <c r="T292" s="25"/>
      <c r="U292" s="8"/>
      <c r="V292" s="8" t="str">
        <f>_xlfn.SINGLE(IF($B292 = "", "", IF(_xlfn.SINGLE(_xlfn.TEXTJOIN(" | ", TRUE, IF($B292 = "", "Missing Title", ""), IF($C292 = "", "Missing Date", ""), IF($D292 = "", "Missing Start", ""), IF($E292 = "", "Missing End", ""), IF($G292 = "", "Missing Required Attendees", ""), IF($T292 = "", "Missing Status", ""), IF(AND($D292 &lt;&gt; "", $E292 &lt;&gt; "", $D292 &gt;= $E292), "Start&gt;=End", ""), IF(OR($R292 = "", LEN($R292) &lt; 60, ISNUMBER(MATCH(TRIM($R292), StatusList, 0))), "Body overwritten/short", ""))) = "", "OK", _xlfn.TEXTJOIN(" | ", TRUE, IF($B292 = "", "Missing Title", ""), IF($C292 = "", "Missing Date", ""), IF($D292 = "", "Missing Start", ""), IF($E292 = "", "Missing End", ""), IF($G292 = "", "Missing Required Attendees", ""), IF($T292 = "", "Missing Status", ""), IF(AND($D292 &lt;&gt; "", $E292 &lt;&gt; "", $D292 &gt;= $E292), "Start&gt;=End", ""), IF(OR($R292 = "", LEN($R292) &lt; 60, ISNUMBER(MATCH(TRIM($R292), StatusList, 0))), "Body overwritten/short", "")))))</f>
        <v/>
      </c>
    </row>
    <row r="293" spans="2:22" ht="12.75" customHeight="1">
      <c r="B293" s="25"/>
      <c r="C293" s="34"/>
      <c r="D293" s="38"/>
      <c r="E293" s="38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16" t="str">
        <f>IF($L293&lt;&gt;"","Purpose "&amp;CHAR(10)&amp;$L293&amp;CHAR(10)&amp;CHAR(10),"")&amp;
IF($M293&lt;&gt;"","Stops (in order) "&amp;CHAR(10)&amp;$M293&amp;CHAR(10)&amp;CHAR(10),"")&amp;
IF($N293&lt;&gt;"","To-Do (hard requirements) "&amp;CHAR(10)&amp;$N293&amp;CHAR(10)&amp;CHAR(10),"")&amp;
IF($O293&lt;&gt;"","Suggested Timeline "&amp;CHAR(10)&amp;$O293&amp;CHAR(10)&amp;CHAR(10),"")&amp;
IF($P293&lt;&gt;"","Guardrails "&amp;CHAR(10)&amp;$P293&amp;CHAR(10)&amp;CHAR(10),"")&amp;
IF($Q293&lt;&gt;"","Completion signals "&amp;CHAR(10)&amp;$Q293,"")</f>
        <v/>
      </c>
      <c r="S293" s="25"/>
      <c r="T293" s="25"/>
      <c r="U293" s="8"/>
      <c r="V293" s="8" t="str">
        <f>_xlfn.SINGLE(IF($B293 = "", "", IF(_xlfn.SINGLE(_xlfn.TEXTJOIN(" | ", TRUE, IF($B293 = "", "Missing Title", ""), IF($C293 = "", "Missing Date", ""), IF($D293 = "", "Missing Start", ""), IF($E293 = "", "Missing End", ""), IF($G293 = "", "Missing Required Attendees", ""), IF($T293 = "", "Missing Status", ""), IF(AND($D293 &lt;&gt; "", $E293 &lt;&gt; "", $D293 &gt;= $E293), "Start&gt;=End", ""), IF(OR($R293 = "", LEN($R293) &lt; 60, ISNUMBER(MATCH(TRIM($R293), StatusList, 0))), "Body overwritten/short", ""))) = "", "OK", _xlfn.TEXTJOIN(" | ", TRUE, IF($B293 = "", "Missing Title", ""), IF($C293 = "", "Missing Date", ""), IF($D293 = "", "Missing Start", ""), IF($E293 = "", "Missing End", ""), IF($G293 = "", "Missing Required Attendees", ""), IF($T293 = "", "Missing Status", ""), IF(AND($D293 &lt;&gt; "", $E293 &lt;&gt; "", $D293 &gt;= $E293), "Start&gt;=End", ""), IF(OR($R293 = "", LEN($R293) &lt; 60, ISNUMBER(MATCH(TRIM($R293), StatusList, 0))), "Body overwritten/short", "")))))</f>
        <v/>
      </c>
    </row>
    <row r="294" spans="2:22" ht="12.75" customHeight="1">
      <c r="B294" s="25"/>
      <c r="C294" s="34"/>
      <c r="D294" s="38"/>
      <c r="E294" s="38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16" t="str">
        <f>IF($L294&lt;&gt;"","Purpose "&amp;CHAR(10)&amp;$L294&amp;CHAR(10)&amp;CHAR(10),"")&amp;
IF($M294&lt;&gt;"","Stops (in order) "&amp;CHAR(10)&amp;$M294&amp;CHAR(10)&amp;CHAR(10),"")&amp;
IF($N294&lt;&gt;"","To-Do (hard requirements) "&amp;CHAR(10)&amp;$N294&amp;CHAR(10)&amp;CHAR(10),"")&amp;
IF($O294&lt;&gt;"","Suggested Timeline "&amp;CHAR(10)&amp;$O294&amp;CHAR(10)&amp;CHAR(10),"")&amp;
IF($P294&lt;&gt;"","Guardrails "&amp;CHAR(10)&amp;$P294&amp;CHAR(10)&amp;CHAR(10),"")&amp;
IF($Q294&lt;&gt;"","Completion signals "&amp;CHAR(10)&amp;$Q294,"")</f>
        <v/>
      </c>
      <c r="S294" s="25"/>
      <c r="T294" s="25"/>
      <c r="U294" s="8"/>
      <c r="V294" s="8" t="str">
        <f>_xlfn.SINGLE(IF($B294 = "", "", IF(_xlfn.SINGLE(_xlfn.TEXTJOIN(" | ", TRUE, IF($B294 = "", "Missing Title", ""), IF($C294 = "", "Missing Date", ""), IF($D294 = "", "Missing Start", ""), IF($E294 = "", "Missing End", ""), IF($G294 = "", "Missing Required Attendees", ""), IF($T294 = "", "Missing Status", ""), IF(AND($D294 &lt;&gt; "", $E294 &lt;&gt; "", $D294 &gt;= $E294), "Start&gt;=End", ""), IF(OR($R294 = "", LEN($R294) &lt; 60, ISNUMBER(MATCH(TRIM($R294), StatusList, 0))), "Body overwritten/short", ""))) = "", "OK", _xlfn.TEXTJOIN(" | ", TRUE, IF($B294 = "", "Missing Title", ""), IF($C294 = "", "Missing Date", ""), IF($D294 = "", "Missing Start", ""), IF($E294 = "", "Missing End", ""), IF($G294 = "", "Missing Required Attendees", ""), IF($T294 = "", "Missing Status", ""), IF(AND($D294 &lt;&gt; "", $E294 &lt;&gt; "", $D294 &gt;= $E294), "Start&gt;=End", ""), IF(OR($R294 = "", LEN($R294) &lt; 60, ISNUMBER(MATCH(TRIM($R294), StatusList, 0))), "Body overwritten/short", "")))))</f>
        <v/>
      </c>
    </row>
    <row r="295" spans="2:22" ht="12.75" customHeight="1">
      <c r="B295" s="25"/>
      <c r="C295" s="34"/>
      <c r="D295" s="38"/>
      <c r="E295" s="38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16" t="str">
        <f>IF($L295&lt;&gt;"","Purpose "&amp;CHAR(10)&amp;$L295&amp;CHAR(10)&amp;CHAR(10),"")&amp;
IF($M295&lt;&gt;"","Stops (in order) "&amp;CHAR(10)&amp;$M295&amp;CHAR(10)&amp;CHAR(10),"")&amp;
IF($N295&lt;&gt;"","To-Do (hard requirements) "&amp;CHAR(10)&amp;$N295&amp;CHAR(10)&amp;CHAR(10),"")&amp;
IF($O295&lt;&gt;"","Suggested Timeline "&amp;CHAR(10)&amp;$O295&amp;CHAR(10)&amp;CHAR(10),"")&amp;
IF($P295&lt;&gt;"","Guardrails "&amp;CHAR(10)&amp;$P295&amp;CHAR(10)&amp;CHAR(10),"")&amp;
IF($Q295&lt;&gt;"","Completion signals "&amp;CHAR(10)&amp;$Q295,"")</f>
        <v/>
      </c>
      <c r="S295" s="25"/>
      <c r="T295" s="25"/>
      <c r="U295" s="8"/>
      <c r="V295" s="8" t="str">
        <f>_xlfn.SINGLE(IF($B295 = "", "", IF(_xlfn.SINGLE(_xlfn.TEXTJOIN(" | ", TRUE, IF($B295 = "", "Missing Title", ""), IF($C295 = "", "Missing Date", ""), IF($D295 = "", "Missing Start", ""), IF($E295 = "", "Missing End", ""), IF($G295 = "", "Missing Required Attendees", ""), IF($T295 = "", "Missing Status", ""), IF(AND($D295 &lt;&gt; "", $E295 &lt;&gt; "", $D295 &gt;= $E295), "Start&gt;=End", ""), IF(OR($R295 = "", LEN($R295) &lt; 60, ISNUMBER(MATCH(TRIM($R295), StatusList, 0))), "Body overwritten/short", ""))) = "", "OK", _xlfn.TEXTJOIN(" | ", TRUE, IF($B295 = "", "Missing Title", ""), IF($C295 = "", "Missing Date", ""), IF($D295 = "", "Missing Start", ""), IF($E295 = "", "Missing End", ""), IF($G295 = "", "Missing Required Attendees", ""), IF($T295 = "", "Missing Status", ""), IF(AND($D295 &lt;&gt; "", $E295 &lt;&gt; "", $D295 &gt;= $E295), "Start&gt;=End", ""), IF(OR($R295 = "", LEN($R295) &lt; 60, ISNUMBER(MATCH(TRIM($R295), StatusList, 0))), "Body overwritten/short", "")))))</f>
        <v/>
      </c>
    </row>
    <row r="296" spans="2:22" ht="12.75" customHeight="1">
      <c r="B296" s="25"/>
      <c r="C296" s="34"/>
      <c r="D296" s="38"/>
      <c r="E296" s="38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16" t="str">
        <f>IF($L296&lt;&gt;"","Purpose "&amp;CHAR(10)&amp;$L296&amp;CHAR(10)&amp;CHAR(10),"")&amp;
IF($M296&lt;&gt;"","Stops (in order) "&amp;CHAR(10)&amp;$M296&amp;CHAR(10)&amp;CHAR(10),"")&amp;
IF($N296&lt;&gt;"","To-Do (hard requirements) "&amp;CHAR(10)&amp;$N296&amp;CHAR(10)&amp;CHAR(10),"")&amp;
IF($O296&lt;&gt;"","Suggested Timeline "&amp;CHAR(10)&amp;$O296&amp;CHAR(10)&amp;CHAR(10),"")&amp;
IF($P296&lt;&gt;"","Guardrails "&amp;CHAR(10)&amp;$P296&amp;CHAR(10)&amp;CHAR(10),"")&amp;
IF($Q296&lt;&gt;"","Completion signals "&amp;CHAR(10)&amp;$Q296,"")</f>
        <v/>
      </c>
      <c r="S296" s="25"/>
      <c r="T296" s="25"/>
      <c r="U296" s="8"/>
      <c r="V296" s="8" t="str">
        <f>_xlfn.SINGLE(IF($B296 = "", "", IF(_xlfn.SINGLE(_xlfn.TEXTJOIN(" | ", TRUE, IF($B296 = "", "Missing Title", ""), IF($C296 = "", "Missing Date", ""), IF($D296 = "", "Missing Start", ""), IF($E296 = "", "Missing End", ""), IF($G296 = "", "Missing Required Attendees", ""), IF($T296 = "", "Missing Status", ""), IF(AND($D296 &lt;&gt; "", $E296 &lt;&gt; "", $D296 &gt;= $E296), "Start&gt;=End", ""), IF(OR($R296 = "", LEN($R296) &lt; 60, ISNUMBER(MATCH(TRIM($R296), StatusList, 0))), "Body overwritten/short", ""))) = "", "OK", _xlfn.TEXTJOIN(" | ", TRUE, IF($B296 = "", "Missing Title", ""), IF($C296 = "", "Missing Date", ""), IF($D296 = "", "Missing Start", ""), IF($E296 = "", "Missing End", ""), IF($G296 = "", "Missing Required Attendees", ""), IF($T296 = "", "Missing Status", ""), IF(AND($D296 &lt;&gt; "", $E296 &lt;&gt; "", $D296 &gt;= $E296), "Start&gt;=End", ""), IF(OR($R296 = "", LEN($R296) &lt; 60, ISNUMBER(MATCH(TRIM($R296), StatusList, 0))), "Body overwritten/short", "")))))</f>
        <v/>
      </c>
    </row>
    <row r="297" spans="2:22" ht="12.75" customHeight="1">
      <c r="B297" s="25"/>
      <c r="C297" s="34"/>
      <c r="D297" s="38"/>
      <c r="E297" s="38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16" t="str">
        <f>IF($L297&lt;&gt;"","Purpose "&amp;CHAR(10)&amp;$L297&amp;CHAR(10)&amp;CHAR(10),"")&amp;
IF($M297&lt;&gt;"","Stops (in order) "&amp;CHAR(10)&amp;$M297&amp;CHAR(10)&amp;CHAR(10),"")&amp;
IF($N297&lt;&gt;"","To-Do (hard requirements) "&amp;CHAR(10)&amp;$N297&amp;CHAR(10)&amp;CHAR(10),"")&amp;
IF($O297&lt;&gt;"","Suggested Timeline "&amp;CHAR(10)&amp;$O297&amp;CHAR(10)&amp;CHAR(10),"")&amp;
IF($P297&lt;&gt;"","Guardrails "&amp;CHAR(10)&amp;$P297&amp;CHAR(10)&amp;CHAR(10),"")&amp;
IF($Q297&lt;&gt;"","Completion signals "&amp;CHAR(10)&amp;$Q297,"")</f>
        <v/>
      </c>
      <c r="S297" s="25"/>
      <c r="T297" s="25"/>
      <c r="U297" s="8"/>
      <c r="V297" s="8" t="str">
        <f>_xlfn.SINGLE(IF($B297 = "", "", IF(_xlfn.SINGLE(_xlfn.TEXTJOIN(" | ", TRUE, IF($B297 = "", "Missing Title", ""), IF($C297 = "", "Missing Date", ""), IF($D297 = "", "Missing Start", ""), IF($E297 = "", "Missing End", ""), IF($G297 = "", "Missing Required Attendees", ""), IF($T297 = "", "Missing Status", ""), IF(AND($D297 &lt;&gt; "", $E297 &lt;&gt; "", $D297 &gt;= $E297), "Start&gt;=End", ""), IF(OR($R297 = "", LEN($R297) &lt; 60, ISNUMBER(MATCH(TRIM($R297), StatusList, 0))), "Body overwritten/short", ""))) = "", "OK", _xlfn.TEXTJOIN(" | ", TRUE, IF($B297 = "", "Missing Title", ""), IF($C297 = "", "Missing Date", ""), IF($D297 = "", "Missing Start", ""), IF($E297 = "", "Missing End", ""), IF($G297 = "", "Missing Required Attendees", ""), IF($T297 = "", "Missing Status", ""), IF(AND($D297 &lt;&gt; "", $E297 &lt;&gt; "", $D297 &gt;= $E297), "Start&gt;=End", ""), IF(OR($R297 = "", LEN($R297) &lt; 60, ISNUMBER(MATCH(TRIM($R297), StatusList, 0))), "Body overwritten/short", "")))))</f>
        <v/>
      </c>
    </row>
    <row r="298" spans="2:22" ht="12.75" customHeight="1">
      <c r="B298" s="25"/>
      <c r="C298" s="34"/>
      <c r="D298" s="38"/>
      <c r="E298" s="38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16" t="str">
        <f>IF($L298&lt;&gt;"","Purpose "&amp;CHAR(10)&amp;$L298&amp;CHAR(10)&amp;CHAR(10),"")&amp;
IF($M298&lt;&gt;"","Stops (in order) "&amp;CHAR(10)&amp;$M298&amp;CHAR(10)&amp;CHAR(10),"")&amp;
IF($N298&lt;&gt;"","To-Do (hard requirements) "&amp;CHAR(10)&amp;$N298&amp;CHAR(10)&amp;CHAR(10),"")&amp;
IF($O298&lt;&gt;"","Suggested Timeline "&amp;CHAR(10)&amp;$O298&amp;CHAR(10)&amp;CHAR(10),"")&amp;
IF($P298&lt;&gt;"","Guardrails "&amp;CHAR(10)&amp;$P298&amp;CHAR(10)&amp;CHAR(10),"")&amp;
IF($Q298&lt;&gt;"","Completion signals "&amp;CHAR(10)&amp;$Q298,"")</f>
        <v/>
      </c>
      <c r="S298" s="25"/>
      <c r="T298" s="25"/>
      <c r="U298" s="8"/>
      <c r="V298" s="8" t="str">
        <f>_xlfn.SINGLE(IF($B298 = "", "", IF(_xlfn.SINGLE(_xlfn.TEXTJOIN(" | ", TRUE, IF($B298 = "", "Missing Title", ""), IF($C298 = "", "Missing Date", ""), IF($D298 = "", "Missing Start", ""), IF($E298 = "", "Missing End", ""), IF($G298 = "", "Missing Required Attendees", ""), IF($T298 = "", "Missing Status", ""), IF(AND($D298 &lt;&gt; "", $E298 &lt;&gt; "", $D298 &gt;= $E298), "Start&gt;=End", ""), IF(OR($R298 = "", LEN($R298) &lt; 60, ISNUMBER(MATCH(TRIM($R298), StatusList, 0))), "Body overwritten/short", ""))) = "", "OK", _xlfn.TEXTJOIN(" | ", TRUE, IF($B298 = "", "Missing Title", ""), IF($C298 = "", "Missing Date", ""), IF($D298 = "", "Missing Start", ""), IF($E298 = "", "Missing End", ""), IF($G298 = "", "Missing Required Attendees", ""), IF($T298 = "", "Missing Status", ""), IF(AND($D298 &lt;&gt; "", $E298 &lt;&gt; "", $D298 &gt;= $E298), "Start&gt;=End", ""), IF(OR($R298 = "", LEN($R298) &lt; 60, ISNUMBER(MATCH(TRIM($R298), StatusList, 0))), "Body overwritten/short", "")))))</f>
        <v/>
      </c>
    </row>
    <row r="299" spans="2:22" ht="12.75" customHeight="1">
      <c r="B299" s="25"/>
      <c r="C299" s="34"/>
      <c r="D299" s="38"/>
      <c r="E299" s="38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16" t="str">
        <f>IF($L299&lt;&gt;"","Purpose "&amp;CHAR(10)&amp;$L299&amp;CHAR(10)&amp;CHAR(10),"")&amp;
IF($M299&lt;&gt;"","Stops (in order) "&amp;CHAR(10)&amp;$M299&amp;CHAR(10)&amp;CHAR(10),"")&amp;
IF($N299&lt;&gt;"","To-Do (hard requirements) "&amp;CHAR(10)&amp;$N299&amp;CHAR(10)&amp;CHAR(10),"")&amp;
IF($O299&lt;&gt;"","Suggested Timeline "&amp;CHAR(10)&amp;$O299&amp;CHAR(10)&amp;CHAR(10),"")&amp;
IF($P299&lt;&gt;"","Guardrails "&amp;CHAR(10)&amp;$P299&amp;CHAR(10)&amp;CHAR(10),"")&amp;
IF($Q299&lt;&gt;"","Completion signals "&amp;CHAR(10)&amp;$Q299,"")</f>
        <v/>
      </c>
      <c r="S299" s="25"/>
      <c r="T299" s="25"/>
      <c r="U299" s="8"/>
      <c r="V299" s="8" t="str">
        <f>_xlfn.SINGLE(IF($B299 = "", "", IF(_xlfn.SINGLE(_xlfn.TEXTJOIN(" | ", TRUE, IF($B299 = "", "Missing Title", ""), IF($C299 = "", "Missing Date", ""), IF($D299 = "", "Missing Start", ""), IF($E299 = "", "Missing End", ""), IF($G299 = "", "Missing Required Attendees", ""), IF($T299 = "", "Missing Status", ""), IF(AND($D299 &lt;&gt; "", $E299 &lt;&gt; "", $D299 &gt;= $E299), "Start&gt;=End", ""), IF(OR($R299 = "", LEN($R299) &lt; 60, ISNUMBER(MATCH(TRIM($R299), StatusList, 0))), "Body overwritten/short", ""))) = "", "OK", _xlfn.TEXTJOIN(" | ", TRUE, IF($B299 = "", "Missing Title", ""), IF($C299 = "", "Missing Date", ""), IF($D299 = "", "Missing Start", ""), IF($E299 = "", "Missing End", ""), IF($G299 = "", "Missing Required Attendees", ""), IF($T299 = "", "Missing Status", ""), IF(AND($D299 &lt;&gt; "", $E299 &lt;&gt; "", $D299 &gt;= $E299), "Start&gt;=End", ""), IF(OR($R299 = "", LEN($R299) &lt; 60, ISNUMBER(MATCH(TRIM($R299), StatusList, 0))), "Body overwritten/short", "")))))</f>
        <v/>
      </c>
    </row>
    <row r="300" spans="2:22" ht="12.75" customHeight="1">
      <c r="B300" s="25"/>
      <c r="C300" s="34"/>
      <c r="D300" s="38"/>
      <c r="E300" s="38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16" t="str">
        <f>IF($L300&lt;&gt;"","Purpose "&amp;CHAR(10)&amp;$L300&amp;CHAR(10)&amp;CHAR(10),"")&amp;
IF($M300&lt;&gt;"","Stops (in order) "&amp;CHAR(10)&amp;$M300&amp;CHAR(10)&amp;CHAR(10),"")&amp;
IF($N300&lt;&gt;"","To-Do (hard requirements) "&amp;CHAR(10)&amp;$N300&amp;CHAR(10)&amp;CHAR(10),"")&amp;
IF($O300&lt;&gt;"","Suggested Timeline "&amp;CHAR(10)&amp;$O300&amp;CHAR(10)&amp;CHAR(10),"")&amp;
IF($P300&lt;&gt;"","Guardrails "&amp;CHAR(10)&amp;$P300&amp;CHAR(10)&amp;CHAR(10),"")&amp;
IF($Q300&lt;&gt;"","Completion signals "&amp;CHAR(10)&amp;$Q300,"")</f>
        <v/>
      </c>
      <c r="S300" s="25"/>
      <c r="T300" s="25"/>
      <c r="U300" s="8"/>
      <c r="V300" s="8" t="str">
        <f>_xlfn.SINGLE(IF($B300 = "", "", IF(_xlfn.SINGLE(_xlfn.TEXTJOIN(" | ", TRUE, IF($B300 = "", "Missing Title", ""), IF($C300 = "", "Missing Date", ""), IF($D300 = "", "Missing Start", ""), IF($E300 = "", "Missing End", ""), IF($G300 = "", "Missing Required Attendees", ""), IF($T300 = "", "Missing Status", ""), IF(AND($D300 &lt;&gt; "", $E300 &lt;&gt; "", $D300 &gt;= $E300), "Start&gt;=End", ""), IF(OR($R300 = "", LEN($R300) &lt; 60, ISNUMBER(MATCH(TRIM($R300), StatusList, 0))), "Body overwritten/short", ""))) = "", "OK", _xlfn.TEXTJOIN(" | ", TRUE, IF($B300 = "", "Missing Title", ""), IF($C300 = "", "Missing Date", ""), IF($D300 = "", "Missing Start", ""), IF($E300 = "", "Missing End", ""), IF($G300 = "", "Missing Required Attendees", ""), IF($T300 = "", "Missing Status", ""), IF(AND($D300 &lt;&gt; "", $E300 &lt;&gt; "", $D300 &gt;= $E300), "Start&gt;=End", ""), IF(OR($R300 = "", LEN($R300) &lt; 60, ISNUMBER(MATCH(TRIM($R300), StatusList, 0))), "Body overwritten/short", "")))))</f>
        <v/>
      </c>
    </row>
    <row r="301" spans="2:22" ht="12.75" customHeight="1">
      <c r="B301" s="25"/>
      <c r="C301" s="34"/>
      <c r="D301" s="38"/>
      <c r="E301" s="38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16" t="str">
        <f>IF($L301&lt;&gt;"","Purpose "&amp;CHAR(10)&amp;$L301&amp;CHAR(10)&amp;CHAR(10),"")&amp;
IF($M301&lt;&gt;"","Stops (in order) "&amp;CHAR(10)&amp;$M301&amp;CHAR(10)&amp;CHAR(10),"")&amp;
IF($N301&lt;&gt;"","To-Do (hard requirements) "&amp;CHAR(10)&amp;$N301&amp;CHAR(10)&amp;CHAR(10),"")&amp;
IF($O301&lt;&gt;"","Suggested Timeline "&amp;CHAR(10)&amp;$O301&amp;CHAR(10)&amp;CHAR(10),"")&amp;
IF($P301&lt;&gt;"","Guardrails "&amp;CHAR(10)&amp;$P301&amp;CHAR(10)&amp;CHAR(10),"")&amp;
IF($Q301&lt;&gt;"","Completion signals "&amp;CHAR(10)&amp;$Q301,"")</f>
        <v/>
      </c>
      <c r="S301" s="25"/>
      <c r="T301" s="25"/>
      <c r="U301" s="8"/>
      <c r="V301" s="8" t="str">
        <f>_xlfn.SINGLE(IF($B301 = "", "", IF(_xlfn.SINGLE(_xlfn.TEXTJOIN(" | ", TRUE, IF($B301 = "", "Missing Title", ""), IF($C301 = "", "Missing Date", ""), IF($D301 = "", "Missing Start", ""), IF($E301 = "", "Missing End", ""), IF($G301 = "", "Missing Required Attendees", ""), IF($T301 = "", "Missing Status", ""), IF(AND($D301 &lt;&gt; "", $E301 &lt;&gt; "", $D301 &gt;= $E301), "Start&gt;=End", ""), IF(OR($R301 = "", LEN($R301) &lt; 60, ISNUMBER(MATCH(TRIM($R301), StatusList, 0))), "Body overwritten/short", ""))) = "", "OK", _xlfn.TEXTJOIN(" | ", TRUE, IF($B301 = "", "Missing Title", ""), IF($C301 = "", "Missing Date", ""), IF($D301 = "", "Missing Start", ""), IF($E301 = "", "Missing End", ""), IF($G301 = "", "Missing Required Attendees", ""), IF($T301 = "", "Missing Status", ""), IF(AND($D301 &lt;&gt; "", $E301 &lt;&gt; "", $D301 &gt;= $E301), "Start&gt;=End", ""), IF(OR($R301 = "", LEN($R301) &lt; 60, ISNUMBER(MATCH(TRIM($R301), StatusList, 0))), "Body overwritten/short", "")))))</f>
        <v/>
      </c>
    </row>
    <row r="302" spans="2:22" ht="12.75" customHeight="1">
      <c r="B302" s="25"/>
      <c r="C302" s="34"/>
      <c r="D302" s="38"/>
      <c r="E302" s="38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16" t="str">
        <f>IF($L302&lt;&gt;"","Purpose "&amp;CHAR(10)&amp;$L302&amp;CHAR(10)&amp;CHAR(10),"")&amp;
IF($M302&lt;&gt;"","Stops (in order) "&amp;CHAR(10)&amp;$M302&amp;CHAR(10)&amp;CHAR(10),"")&amp;
IF($N302&lt;&gt;"","To-Do (hard requirements) "&amp;CHAR(10)&amp;$N302&amp;CHAR(10)&amp;CHAR(10),"")&amp;
IF($O302&lt;&gt;"","Suggested Timeline "&amp;CHAR(10)&amp;$O302&amp;CHAR(10)&amp;CHAR(10),"")&amp;
IF($P302&lt;&gt;"","Guardrails "&amp;CHAR(10)&amp;$P302&amp;CHAR(10)&amp;CHAR(10),"")&amp;
IF($Q302&lt;&gt;"","Completion signals "&amp;CHAR(10)&amp;$Q302,"")</f>
        <v/>
      </c>
      <c r="S302" s="25"/>
      <c r="T302" s="25"/>
      <c r="U302" s="8"/>
      <c r="V302" s="8" t="str">
        <f>_xlfn.SINGLE(IF($B302 = "", "", IF(_xlfn.SINGLE(_xlfn.TEXTJOIN(" | ", TRUE, IF($B302 = "", "Missing Title", ""), IF($C302 = "", "Missing Date", ""), IF($D302 = "", "Missing Start", ""), IF($E302 = "", "Missing End", ""), IF($G302 = "", "Missing Required Attendees", ""), IF($T302 = "", "Missing Status", ""), IF(AND($D302 &lt;&gt; "", $E302 &lt;&gt; "", $D302 &gt;= $E302), "Start&gt;=End", ""), IF(OR($R302 = "", LEN($R302) &lt; 60, ISNUMBER(MATCH(TRIM($R302), StatusList, 0))), "Body overwritten/short", ""))) = "", "OK", _xlfn.TEXTJOIN(" | ", TRUE, IF($B302 = "", "Missing Title", ""), IF($C302 = "", "Missing Date", ""), IF($D302 = "", "Missing Start", ""), IF($E302 = "", "Missing End", ""), IF($G302 = "", "Missing Required Attendees", ""), IF($T302 = "", "Missing Status", ""), IF(AND($D302 &lt;&gt; "", $E302 &lt;&gt; "", $D302 &gt;= $E302), "Start&gt;=End", ""), IF(OR($R302 = "", LEN($R302) &lt; 60, ISNUMBER(MATCH(TRIM($R302), StatusList, 0))), "Body overwritten/short", "")))))</f>
        <v/>
      </c>
    </row>
    <row r="303" spans="2:22" ht="12.75" customHeight="1">
      <c r="B303" s="25"/>
      <c r="C303" s="34"/>
      <c r="D303" s="38"/>
      <c r="E303" s="38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16" t="str">
        <f>IF($L303&lt;&gt;"","Purpose "&amp;CHAR(10)&amp;$L303&amp;CHAR(10)&amp;CHAR(10),"")&amp;
IF($M303&lt;&gt;"","Stops (in order) "&amp;CHAR(10)&amp;$M303&amp;CHAR(10)&amp;CHAR(10),"")&amp;
IF($N303&lt;&gt;"","To-Do (hard requirements) "&amp;CHAR(10)&amp;$N303&amp;CHAR(10)&amp;CHAR(10),"")&amp;
IF($O303&lt;&gt;"","Suggested Timeline "&amp;CHAR(10)&amp;$O303&amp;CHAR(10)&amp;CHAR(10),"")&amp;
IF($P303&lt;&gt;"","Guardrails "&amp;CHAR(10)&amp;$P303&amp;CHAR(10)&amp;CHAR(10),"")&amp;
IF($Q303&lt;&gt;"","Completion signals "&amp;CHAR(10)&amp;$Q303,"")</f>
        <v/>
      </c>
      <c r="S303" s="25"/>
      <c r="T303" s="25"/>
      <c r="U303" s="8"/>
      <c r="V303" s="8" t="str">
        <f>_xlfn.SINGLE(IF($B303 = "", "", IF(_xlfn.SINGLE(_xlfn.TEXTJOIN(" | ", TRUE, IF($B303 = "", "Missing Title", ""), IF($C303 = "", "Missing Date", ""), IF($D303 = "", "Missing Start", ""), IF($E303 = "", "Missing End", ""), IF($G303 = "", "Missing Required Attendees", ""), IF($T303 = "", "Missing Status", ""), IF(AND($D303 &lt;&gt; "", $E303 &lt;&gt; "", $D303 &gt;= $E303), "Start&gt;=End", ""), IF(OR($R303 = "", LEN($R303) &lt; 60, ISNUMBER(MATCH(TRIM($R303), StatusList, 0))), "Body overwritten/short", ""))) = "", "OK", _xlfn.TEXTJOIN(" | ", TRUE, IF($B303 = "", "Missing Title", ""), IF($C303 = "", "Missing Date", ""), IF($D303 = "", "Missing Start", ""), IF($E303 = "", "Missing End", ""), IF($G303 = "", "Missing Required Attendees", ""), IF($T303 = "", "Missing Status", ""), IF(AND($D303 &lt;&gt; "", $E303 &lt;&gt; "", $D303 &gt;= $E303), "Start&gt;=End", ""), IF(OR($R303 = "", LEN($R303) &lt; 60, ISNUMBER(MATCH(TRIM($R303), StatusList, 0))), "Body overwritten/short", "")))))</f>
        <v/>
      </c>
    </row>
    <row r="304" spans="2:22" ht="12.75" customHeight="1">
      <c r="B304" s="25"/>
      <c r="C304" s="34"/>
      <c r="D304" s="38"/>
      <c r="E304" s="38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16" t="str">
        <f>IF($L304&lt;&gt;"","Purpose "&amp;CHAR(10)&amp;$L304&amp;CHAR(10)&amp;CHAR(10),"")&amp;
IF($M304&lt;&gt;"","Stops (in order) "&amp;CHAR(10)&amp;$M304&amp;CHAR(10)&amp;CHAR(10),"")&amp;
IF($N304&lt;&gt;"","To-Do (hard requirements) "&amp;CHAR(10)&amp;$N304&amp;CHAR(10)&amp;CHAR(10),"")&amp;
IF($O304&lt;&gt;"","Suggested Timeline "&amp;CHAR(10)&amp;$O304&amp;CHAR(10)&amp;CHAR(10),"")&amp;
IF($P304&lt;&gt;"","Guardrails "&amp;CHAR(10)&amp;$P304&amp;CHAR(10)&amp;CHAR(10),"")&amp;
IF($Q304&lt;&gt;"","Completion signals "&amp;CHAR(10)&amp;$Q304,"")</f>
        <v/>
      </c>
      <c r="S304" s="25"/>
      <c r="T304" s="25"/>
      <c r="U304" s="8"/>
      <c r="V304" s="8" t="str">
        <f>_xlfn.SINGLE(IF($B304 = "", "", IF(_xlfn.SINGLE(_xlfn.TEXTJOIN(" | ", TRUE, IF($B304 = "", "Missing Title", ""), IF($C304 = "", "Missing Date", ""), IF($D304 = "", "Missing Start", ""), IF($E304 = "", "Missing End", ""), IF($G304 = "", "Missing Required Attendees", ""), IF($T304 = "", "Missing Status", ""), IF(AND($D304 &lt;&gt; "", $E304 &lt;&gt; "", $D304 &gt;= $E304), "Start&gt;=End", ""), IF(OR($R304 = "", LEN($R304) &lt; 60, ISNUMBER(MATCH(TRIM($R304), StatusList, 0))), "Body overwritten/short", ""))) = "", "OK", _xlfn.TEXTJOIN(" | ", TRUE, IF($B304 = "", "Missing Title", ""), IF($C304 = "", "Missing Date", ""), IF($D304 = "", "Missing Start", ""), IF($E304 = "", "Missing End", ""), IF($G304 = "", "Missing Required Attendees", ""), IF($T304 = "", "Missing Status", ""), IF(AND($D304 &lt;&gt; "", $E304 &lt;&gt; "", $D304 &gt;= $E304), "Start&gt;=End", ""), IF(OR($R304 = "", LEN($R304) &lt; 60, ISNUMBER(MATCH(TRIM($R304), StatusList, 0))), "Body overwritten/short", "")))))</f>
        <v/>
      </c>
    </row>
    <row r="305" spans="2:22" ht="12.75" customHeight="1">
      <c r="B305" s="25"/>
      <c r="C305" s="34"/>
      <c r="D305" s="38"/>
      <c r="E305" s="38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16" t="str">
        <f>IF($L305&lt;&gt;"","Purpose "&amp;CHAR(10)&amp;$L305&amp;CHAR(10)&amp;CHAR(10),"")&amp;
IF($M305&lt;&gt;"","Stops (in order) "&amp;CHAR(10)&amp;$M305&amp;CHAR(10)&amp;CHAR(10),"")&amp;
IF($N305&lt;&gt;"","To-Do (hard requirements) "&amp;CHAR(10)&amp;$N305&amp;CHAR(10)&amp;CHAR(10),"")&amp;
IF($O305&lt;&gt;"","Suggested Timeline "&amp;CHAR(10)&amp;$O305&amp;CHAR(10)&amp;CHAR(10),"")&amp;
IF($P305&lt;&gt;"","Guardrails "&amp;CHAR(10)&amp;$P305&amp;CHAR(10)&amp;CHAR(10),"")&amp;
IF($Q305&lt;&gt;"","Completion signals "&amp;CHAR(10)&amp;$Q305,"")</f>
        <v/>
      </c>
      <c r="S305" s="25"/>
      <c r="T305" s="25"/>
      <c r="U305" s="8"/>
      <c r="V305" s="8" t="str">
        <f>_xlfn.SINGLE(IF($B305 = "", "", IF(_xlfn.SINGLE(_xlfn.TEXTJOIN(" | ", TRUE, IF($B305 = "", "Missing Title", ""), IF($C305 = "", "Missing Date", ""), IF($D305 = "", "Missing Start", ""), IF($E305 = "", "Missing End", ""), IF($G305 = "", "Missing Required Attendees", ""), IF($T305 = "", "Missing Status", ""), IF(AND($D305 &lt;&gt; "", $E305 &lt;&gt; "", $D305 &gt;= $E305), "Start&gt;=End", ""), IF(OR($R305 = "", LEN($R305) &lt; 60, ISNUMBER(MATCH(TRIM($R305), StatusList, 0))), "Body overwritten/short", ""))) = "", "OK", _xlfn.TEXTJOIN(" | ", TRUE, IF($B305 = "", "Missing Title", ""), IF($C305 = "", "Missing Date", ""), IF($D305 = "", "Missing Start", ""), IF($E305 = "", "Missing End", ""), IF($G305 = "", "Missing Required Attendees", ""), IF($T305 = "", "Missing Status", ""), IF(AND($D305 &lt;&gt; "", $E305 &lt;&gt; "", $D305 &gt;= $E305), "Start&gt;=End", ""), IF(OR($R305 = "", LEN($R305) &lt; 60, ISNUMBER(MATCH(TRIM($R305), StatusList, 0))), "Body overwritten/short", "")))))</f>
        <v/>
      </c>
    </row>
    <row r="306" spans="2:22" ht="12.75" customHeight="1">
      <c r="B306" s="25"/>
      <c r="C306" s="34"/>
      <c r="D306" s="38"/>
      <c r="E306" s="38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16" t="str">
        <f>IF($L306&lt;&gt;"","Purpose "&amp;CHAR(10)&amp;$L306&amp;CHAR(10)&amp;CHAR(10),"")&amp;
IF($M306&lt;&gt;"","Stops (in order) "&amp;CHAR(10)&amp;$M306&amp;CHAR(10)&amp;CHAR(10),"")&amp;
IF($N306&lt;&gt;"","To-Do (hard requirements) "&amp;CHAR(10)&amp;$N306&amp;CHAR(10)&amp;CHAR(10),"")&amp;
IF($O306&lt;&gt;"","Suggested Timeline "&amp;CHAR(10)&amp;$O306&amp;CHAR(10)&amp;CHAR(10),"")&amp;
IF($P306&lt;&gt;"","Guardrails "&amp;CHAR(10)&amp;$P306&amp;CHAR(10)&amp;CHAR(10),"")&amp;
IF($Q306&lt;&gt;"","Completion signals "&amp;CHAR(10)&amp;$Q306,"")</f>
        <v/>
      </c>
      <c r="S306" s="25"/>
      <c r="T306" s="25"/>
      <c r="U306" s="8"/>
      <c r="V306" s="8" t="str">
        <f>_xlfn.SINGLE(IF($B306 = "", "", IF(_xlfn.SINGLE(_xlfn.TEXTJOIN(" | ", TRUE, IF($B306 = "", "Missing Title", ""), IF($C306 = "", "Missing Date", ""), IF($D306 = "", "Missing Start", ""), IF($E306 = "", "Missing End", ""), IF($G306 = "", "Missing Required Attendees", ""), IF($T306 = "", "Missing Status", ""), IF(AND($D306 &lt;&gt; "", $E306 &lt;&gt; "", $D306 &gt;= $E306), "Start&gt;=End", ""), IF(OR($R306 = "", LEN($R306) &lt; 60, ISNUMBER(MATCH(TRIM($R306), StatusList, 0))), "Body overwritten/short", ""))) = "", "OK", _xlfn.TEXTJOIN(" | ", TRUE, IF($B306 = "", "Missing Title", ""), IF($C306 = "", "Missing Date", ""), IF($D306 = "", "Missing Start", ""), IF($E306 = "", "Missing End", ""), IF($G306 = "", "Missing Required Attendees", ""), IF($T306 = "", "Missing Status", ""), IF(AND($D306 &lt;&gt; "", $E306 &lt;&gt; "", $D306 &gt;= $E306), "Start&gt;=End", ""), IF(OR($R306 = "", LEN($R306) &lt; 60, ISNUMBER(MATCH(TRIM($R306), StatusList, 0))), "Body overwritten/short", "")))))</f>
        <v/>
      </c>
    </row>
    <row r="307" spans="2:22" ht="12.75" customHeight="1">
      <c r="B307" s="25"/>
      <c r="C307" s="34"/>
      <c r="D307" s="38"/>
      <c r="E307" s="38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16" t="str">
        <f>IF($L307&lt;&gt;"","Purpose "&amp;CHAR(10)&amp;$L307&amp;CHAR(10)&amp;CHAR(10),"")&amp;
IF($M307&lt;&gt;"","Stops (in order) "&amp;CHAR(10)&amp;$M307&amp;CHAR(10)&amp;CHAR(10),"")&amp;
IF($N307&lt;&gt;"","To-Do (hard requirements) "&amp;CHAR(10)&amp;$N307&amp;CHAR(10)&amp;CHAR(10),"")&amp;
IF($O307&lt;&gt;"","Suggested Timeline "&amp;CHAR(10)&amp;$O307&amp;CHAR(10)&amp;CHAR(10),"")&amp;
IF($P307&lt;&gt;"","Guardrails "&amp;CHAR(10)&amp;$P307&amp;CHAR(10)&amp;CHAR(10),"")&amp;
IF($Q307&lt;&gt;"","Completion signals "&amp;CHAR(10)&amp;$Q307,"")</f>
        <v/>
      </c>
      <c r="S307" s="25"/>
      <c r="T307" s="25"/>
      <c r="U307" s="8"/>
      <c r="V307" s="8" t="str">
        <f>_xlfn.SINGLE(IF($B307 = "", "", IF(_xlfn.SINGLE(_xlfn.TEXTJOIN(" | ", TRUE, IF($B307 = "", "Missing Title", ""), IF($C307 = "", "Missing Date", ""), IF($D307 = "", "Missing Start", ""), IF($E307 = "", "Missing End", ""), IF($G307 = "", "Missing Required Attendees", ""), IF($T307 = "", "Missing Status", ""), IF(AND($D307 &lt;&gt; "", $E307 &lt;&gt; "", $D307 &gt;= $E307), "Start&gt;=End", ""), IF(OR($R307 = "", LEN($R307) &lt; 60, ISNUMBER(MATCH(TRIM($R307), StatusList, 0))), "Body overwritten/short", ""))) = "", "OK", _xlfn.TEXTJOIN(" | ", TRUE, IF($B307 = "", "Missing Title", ""), IF($C307 = "", "Missing Date", ""), IF($D307 = "", "Missing Start", ""), IF($E307 = "", "Missing End", ""), IF($G307 = "", "Missing Required Attendees", ""), IF($T307 = "", "Missing Status", ""), IF(AND($D307 &lt;&gt; "", $E307 &lt;&gt; "", $D307 &gt;= $E307), "Start&gt;=End", ""), IF(OR($R307 = "", LEN($R307) &lt; 60, ISNUMBER(MATCH(TRIM($R307), StatusList, 0))), "Body overwritten/short", "")))))</f>
        <v/>
      </c>
    </row>
    <row r="308" spans="2:22" ht="12.75" customHeight="1">
      <c r="B308" s="25"/>
      <c r="C308" s="34"/>
      <c r="D308" s="38"/>
      <c r="E308" s="38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16" t="str">
        <f>IF($L308&lt;&gt;"","Purpose "&amp;CHAR(10)&amp;$L308&amp;CHAR(10)&amp;CHAR(10),"")&amp;
IF($M308&lt;&gt;"","Stops (in order) "&amp;CHAR(10)&amp;$M308&amp;CHAR(10)&amp;CHAR(10),"")&amp;
IF($N308&lt;&gt;"","To-Do (hard requirements) "&amp;CHAR(10)&amp;$N308&amp;CHAR(10)&amp;CHAR(10),"")&amp;
IF($O308&lt;&gt;"","Suggested Timeline "&amp;CHAR(10)&amp;$O308&amp;CHAR(10)&amp;CHAR(10),"")&amp;
IF($P308&lt;&gt;"","Guardrails "&amp;CHAR(10)&amp;$P308&amp;CHAR(10)&amp;CHAR(10),"")&amp;
IF($Q308&lt;&gt;"","Completion signals "&amp;CHAR(10)&amp;$Q308,"")</f>
        <v/>
      </c>
      <c r="S308" s="25"/>
      <c r="T308" s="25"/>
      <c r="U308" s="8"/>
      <c r="V308" s="8" t="str">
        <f>_xlfn.SINGLE(IF($B308 = "", "", IF(_xlfn.SINGLE(_xlfn.TEXTJOIN(" | ", TRUE, IF($B308 = "", "Missing Title", ""), IF($C308 = "", "Missing Date", ""), IF($D308 = "", "Missing Start", ""), IF($E308 = "", "Missing End", ""), IF($G308 = "", "Missing Required Attendees", ""), IF($T308 = "", "Missing Status", ""), IF(AND($D308 &lt;&gt; "", $E308 &lt;&gt; "", $D308 &gt;= $E308), "Start&gt;=End", ""), IF(OR($R308 = "", LEN($R308) &lt; 60, ISNUMBER(MATCH(TRIM($R308), StatusList, 0))), "Body overwritten/short", ""))) = "", "OK", _xlfn.TEXTJOIN(" | ", TRUE, IF($B308 = "", "Missing Title", ""), IF($C308 = "", "Missing Date", ""), IF($D308 = "", "Missing Start", ""), IF($E308 = "", "Missing End", ""), IF($G308 = "", "Missing Required Attendees", ""), IF($T308 = "", "Missing Status", ""), IF(AND($D308 &lt;&gt; "", $E308 &lt;&gt; "", $D308 &gt;= $E308), "Start&gt;=End", ""), IF(OR($R308 = "", LEN($R308) &lt; 60, ISNUMBER(MATCH(TRIM($R308), StatusList, 0))), "Body overwritten/short", "")))))</f>
        <v/>
      </c>
    </row>
    <row r="309" spans="2:22" ht="12.75" customHeight="1">
      <c r="B309" s="25"/>
      <c r="C309" s="34"/>
      <c r="D309" s="38"/>
      <c r="E309" s="38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16" t="str">
        <f>IF($L309&lt;&gt;"","Purpose "&amp;CHAR(10)&amp;$L309&amp;CHAR(10)&amp;CHAR(10),"")&amp;
IF($M309&lt;&gt;"","Stops (in order) "&amp;CHAR(10)&amp;$M309&amp;CHAR(10)&amp;CHAR(10),"")&amp;
IF($N309&lt;&gt;"","To-Do (hard requirements) "&amp;CHAR(10)&amp;$N309&amp;CHAR(10)&amp;CHAR(10),"")&amp;
IF($O309&lt;&gt;"","Suggested Timeline "&amp;CHAR(10)&amp;$O309&amp;CHAR(10)&amp;CHAR(10),"")&amp;
IF($P309&lt;&gt;"","Guardrails "&amp;CHAR(10)&amp;$P309&amp;CHAR(10)&amp;CHAR(10),"")&amp;
IF($Q309&lt;&gt;"","Completion signals "&amp;CHAR(10)&amp;$Q309,"")</f>
        <v/>
      </c>
      <c r="S309" s="25"/>
      <c r="T309" s="25"/>
      <c r="U309" s="8"/>
      <c r="V309" s="8" t="str">
        <f>_xlfn.SINGLE(IF($B309 = "", "", IF(_xlfn.SINGLE(_xlfn.TEXTJOIN(" | ", TRUE, IF($B309 = "", "Missing Title", ""), IF($C309 = "", "Missing Date", ""), IF($D309 = "", "Missing Start", ""), IF($E309 = "", "Missing End", ""), IF($G309 = "", "Missing Required Attendees", ""), IF($T309 = "", "Missing Status", ""), IF(AND($D309 &lt;&gt; "", $E309 &lt;&gt; "", $D309 &gt;= $E309), "Start&gt;=End", ""), IF(OR($R309 = "", LEN($R309) &lt; 60, ISNUMBER(MATCH(TRIM($R309), StatusList, 0))), "Body overwritten/short", ""))) = "", "OK", _xlfn.TEXTJOIN(" | ", TRUE, IF($B309 = "", "Missing Title", ""), IF($C309 = "", "Missing Date", ""), IF($D309 = "", "Missing Start", ""), IF($E309 = "", "Missing End", ""), IF($G309 = "", "Missing Required Attendees", ""), IF($T309 = "", "Missing Status", ""), IF(AND($D309 &lt;&gt; "", $E309 &lt;&gt; "", $D309 &gt;= $E309), "Start&gt;=End", ""), IF(OR($R309 = "", LEN($R309) &lt; 60, ISNUMBER(MATCH(TRIM($R309), StatusList, 0))), "Body overwritten/short", "")))))</f>
        <v/>
      </c>
    </row>
    <row r="310" spans="2:22" ht="12.75" customHeight="1">
      <c r="B310" s="25"/>
      <c r="C310" s="34"/>
      <c r="D310" s="38"/>
      <c r="E310" s="38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16" t="str">
        <f>IF($L310&lt;&gt;"","Purpose "&amp;CHAR(10)&amp;$L310&amp;CHAR(10)&amp;CHAR(10),"")&amp;
IF($M310&lt;&gt;"","Stops (in order) "&amp;CHAR(10)&amp;$M310&amp;CHAR(10)&amp;CHAR(10),"")&amp;
IF($N310&lt;&gt;"","To-Do (hard requirements) "&amp;CHAR(10)&amp;$N310&amp;CHAR(10)&amp;CHAR(10),"")&amp;
IF($O310&lt;&gt;"","Suggested Timeline "&amp;CHAR(10)&amp;$O310&amp;CHAR(10)&amp;CHAR(10),"")&amp;
IF($P310&lt;&gt;"","Guardrails "&amp;CHAR(10)&amp;$P310&amp;CHAR(10)&amp;CHAR(10),"")&amp;
IF($Q310&lt;&gt;"","Completion signals "&amp;CHAR(10)&amp;$Q310,"")</f>
        <v/>
      </c>
      <c r="S310" s="25"/>
      <c r="T310" s="25"/>
      <c r="U310" s="8"/>
      <c r="V310" s="8" t="str">
        <f>_xlfn.SINGLE(IF($B310 = "", "", IF(_xlfn.SINGLE(_xlfn.TEXTJOIN(" | ", TRUE, IF($B310 = "", "Missing Title", ""), IF($C310 = "", "Missing Date", ""), IF($D310 = "", "Missing Start", ""), IF($E310 = "", "Missing End", ""), IF($G310 = "", "Missing Required Attendees", ""), IF($T310 = "", "Missing Status", ""), IF(AND($D310 &lt;&gt; "", $E310 &lt;&gt; "", $D310 &gt;= $E310), "Start&gt;=End", ""), IF(OR($R310 = "", LEN($R310) &lt; 60, ISNUMBER(MATCH(TRIM($R310), StatusList, 0))), "Body overwritten/short", ""))) = "", "OK", _xlfn.TEXTJOIN(" | ", TRUE, IF($B310 = "", "Missing Title", ""), IF($C310 = "", "Missing Date", ""), IF($D310 = "", "Missing Start", ""), IF($E310 = "", "Missing End", ""), IF($G310 = "", "Missing Required Attendees", ""), IF($T310 = "", "Missing Status", ""), IF(AND($D310 &lt;&gt; "", $E310 &lt;&gt; "", $D310 &gt;= $E310), "Start&gt;=End", ""), IF(OR($R310 = "", LEN($R310) &lt; 60, ISNUMBER(MATCH(TRIM($R310), StatusList, 0))), "Body overwritten/short", "")))))</f>
        <v/>
      </c>
    </row>
    <row r="311" spans="2:22" ht="12.75" customHeight="1">
      <c r="B311" s="25"/>
      <c r="C311" s="34"/>
      <c r="D311" s="38"/>
      <c r="E311" s="38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16" t="str">
        <f>IF($L311&lt;&gt;"","Purpose "&amp;CHAR(10)&amp;$L311&amp;CHAR(10)&amp;CHAR(10),"")&amp;
IF($M311&lt;&gt;"","Stops (in order) "&amp;CHAR(10)&amp;$M311&amp;CHAR(10)&amp;CHAR(10),"")&amp;
IF($N311&lt;&gt;"","To-Do (hard requirements) "&amp;CHAR(10)&amp;$N311&amp;CHAR(10)&amp;CHAR(10),"")&amp;
IF($O311&lt;&gt;"","Suggested Timeline "&amp;CHAR(10)&amp;$O311&amp;CHAR(10)&amp;CHAR(10),"")&amp;
IF($P311&lt;&gt;"","Guardrails "&amp;CHAR(10)&amp;$P311&amp;CHAR(10)&amp;CHAR(10),"")&amp;
IF($Q311&lt;&gt;"","Completion signals "&amp;CHAR(10)&amp;$Q311,"")</f>
        <v/>
      </c>
      <c r="S311" s="25"/>
      <c r="T311" s="25"/>
      <c r="U311" s="8"/>
      <c r="V311" s="8" t="str">
        <f>_xlfn.SINGLE(IF($B311 = "", "", IF(_xlfn.SINGLE(_xlfn.TEXTJOIN(" | ", TRUE, IF($B311 = "", "Missing Title", ""), IF($C311 = "", "Missing Date", ""), IF($D311 = "", "Missing Start", ""), IF($E311 = "", "Missing End", ""), IF($G311 = "", "Missing Required Attendees", ""), IF($T311 = "", "Missing Status", ""), IF(AND($D311 &lt;&gt; "", $E311 &lt;&gt; "", $D311 &gt;= $E311), "Start&gt;=End", ""), IF(OR($R311 = "", LEN($R311) &lt; 60, ISNUMBER(MATCH(TRIM($R311), StatusList, 0))), "Body overwritten/short", ""))) = "", "OK", _xlfn.TEXTJOIN(" | ", TRUE, IF($B311 = "", "Missing Title", ""), IF($C311 = "", "Missing Date", ""), IF($D311 = "", "Missing Start", ""), IF($E311 = "", "Missing End", ""), IF($G311 = "", "Missing Required Attendees", ""), IF($T311 = "", "Missing Status", ""), IF(AND($D311 &lt;&gt; "", $E311 &lt;&gt; "", $D311 &gt;= $E311), "Start&gt;=End", ""), IF(OR($R311 = "", LEN($R311) &lt; 60, ISNUMBER(MATCH(TRIM($R311), StatusList, 0))), "Body overwritten/short", "")))))</f>
        <v/>
      </c>
    </row>
    <row r="312" spans="2:22" ht="12.75" customHeight="1">
      <c r="B312" s="25"/>
      <c r="C312" s="34"/>
      <c r="D312" s="38"/>
      <c r="E312" s="38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16" t="str">
        <f>IF($L312&lt;&gt;"","Purpose "&amp;CHAR(10)&amp;$L312&amp;CHAR(10)&amp;CHAR(10),"")&amp;
IF($M312&lt;&gt;"","Stops (in order) "&amp;CHAR(10)&amp;$M312&amp;CHAR(10)&amp;CHAR(10),"")&amp;
IF($N312&lt;&gt;"","To-Do (hard requirements) "&amp;CHAR(10)&amp;$N312&amp;CHAR(10)&amp;CHAR(10),"")&amp;
IF($O312&lt;&gt;"","Suggested Timeline "&amp;CHAR(10)&amp;$O312&amp;CHAR(10)&amp;CHAR(10),"")&amp;
IF($P312&lt;&gt;"","Guardrails "&amp;CHAR(10)&amp;$P312&amp;CHAR(10)&amp;CHAR(10),"")&amp;
IF($Q312&lt;&gt;"","Completion signals "&amp;CHAR(10)&amp;$Q312,"")</f>
        <v/>
      </c>
      <c r="S312" s="25"/>
      <c r="T312" s="25"/>
      <c r="U312" s="8"/>
      <c r="V312" s="8" t="str">
        <f>_xlfn.SINGLE(IF($B312 = "", "", IF(_xlfn.SINGLE(_xlfn.TEXTJOIN(" | ", TRUE, IF($B312 = "", "Missing Title", ""), IF($C312 = "", "Missing Date", ""), IF($D312 = "", "Missing Start", ""), IF($E312 = "", "Missing End", ""), IF($G312 = "", "Missing Required Attendees", ""), IF($T312 = "", "Missing Status", ""), IF(AND($D312 &lt;&gt; "", $E312 &lt;&gt; "", $D312 &gt;= $E312), "Start&gt;=End", ""), IF(OR($R312 = "", LEN($R312) &lt; 60, ISNUMBER(MATCH(TRIM($R312), StatusList, 0))), "Body overwritten/short", ""))) = "", "OK", _xlfn.TEXTJOIN(" | ", TRUE, IF($B312 = "", "Missing Title", ""), IF($C312 = "", "Missing Date", ""), IF($D312 = "", "Missing Start", ""), IF($E312 = "", "Missing End", ""), IF($G312 = "", "Missing Required Attendees", ""), IF($T312 = "", "Missing Status", ""), IF(AND($D312 &lt;&gt; "", $E312 &lt;&gt; "", $D312 &gt;= $E312), "Start&gt;=End", ""), IF(OR($R312 = "", LEN($R312) &lt; 60, ISNUMBER(MATCH(TRIM($R312), StatusList, 0))), "Body overwritten/short", "")))))</f>
        <v/>
      </c>
    </row>
    <row r="313" spans="2:22" ht="12.75" customHeight="1">
      <c r="B313" s="25"/>
      <c r="C313" s="34"/>
      <c r="D313" s="38"/>
      <c r="E313" s="38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16" t="str">
        <f>IF($L313&lt;&gt;"","Purpose "&amp;CHAR(10)&amp;$L313&amp;CHAR(10)&amp;CHAR(10),"")&amp;
IF($M313&lt;&gt;"","Stops (in order) "&amp;CHAR(10)&amp;$M313&amp;CHAR(10)&amp;CHAR(10),"")&amp;
IF($N313&lt;&gt;"","To-Do (hard requirements) "&amp;CHAR(10)&amp;$N313&amp;CHAR(10)&amp;CHAR(10),"")&amp;
IF($O313&lt;&gt;"","Suggested Timeline "&amp;CHAR(10)&amp;$O313&amp;CHAR(10)&amp;CHAR(10),"")&amp;
IF($P313&lt;&gt;"","Guardrails "&amp;CHAR(10)&amp;$P313&amp;CHAR(10)&amp;CHAR(10),"")&amp;
IF($Q313&lt;&gt;"","Completion signals "&amp;CHAR(10)&amp;$Q313,"")</f>
        <v/>
      </c>
      <c r="S313" s="25"/>
      <c r="T313" s="25"/>
      <c r="U313" s="8"/>
      <c r="V313" s="8" t="str">
        <f>_xlfn.SINGLE(IF($B313 = "", "", IF(_xlfn.SINGLE(_xlfn.TEXTJOIN(" | ", TRUE, IF($B313 = "", "Missing Title", ""), IF($C313 = "", "Missing Date", ""), IF($D313 = "", "Missing Start", ""), IF($E313 = "", "Missing End", ""), IF($G313 = "", "Missing Required Attendees", ""), IF($T313 = "", "Missing Status", ""), IF(AND($D313 &lt;&gt; "", $E313 &lt;&gt; "", $D313 &gt;= $E313), "Start&gt;=End", ""), IF(OR($R313 = "", LEN($R313) &lt; 60, ISNUMBER(MATCH(TRIM($R313), StatusList, 0))), "Body overwritten/short", ""))) = "", "OK", _xlfn.TEXTJOIN(" | ", TRUE, IF($B313 = "", "Missing Title", ""), IF($C313 = "", "Missing Date", ""), IF($D313 = "", "Missing Start", ""), IF($E313 = "", "Missing End", ""), IF($G313 = "", "Missing Required Attendees", ""), IF($T313 = "", "Missing Status", ""), IF(AND($D313 &lt;&gt; "", $E313 &lt;&gt; "", $D313 &gt;= $E313), "Start&gt;=End", ""), IF(OR($R313 = "", LEN($R313) &lt; 60, ISNUMBER(MATCH(TRIM($R313), StatusList, 0))), "Body overwritten/short", "")))))</f>
        <v/>
      </c>
    </row>
    <row r="314" spans="2:22" ht="12.75" customHeight="1">
      <c r="B314" s="25"/>
      <c r="C314" s="34"/>
      <c r="D314" s="38"/>
      <c r="E314" s="38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16" t="str">
        <f>IF($L314&lt;&gt;"","Purpose "&amp;CHAR(10)&amp;$L314&amp;CHAR(10)&amp;CHAR(10),"")&amp;
IF($M314&lt;&gt;"","Stops (in order) "&amp;CHAR(10)&amp;$M314&amp;CHAR(10)&amp;CHAR(10),"")&amp;
IF($N314&lt;&gt;"","To-Do (hard requirements) "&amp;CHAR(10)&amp;$N314&amp;CHAR(10)&amp;CHAR(10),"")&amp;
IF($O314&lt;&gt;"","Suggested Timeline "&amp;CHAR(10)&amp;$O314&amp;CHAR(10)&amp;CHAR(10),"")&amp;
IF($P314&lt;&gt;"","Guardrails "&amp;CHAR(10)&amp;$P314&amp;CHAR(10)&amp;CHAR(10),"")&amp;
IF($Q314&lt;&gt;"","Completion signals "&amp;CHAR(10)&amp;$Q314,"")</f>
        <v/>
      </c>
      <c r="S314" s="25"/>
      <c r="T314" s="25"/>
      <c r="U314" s="8"/>
      <c r="V314" s="8" t="str">
        <f>_xlfn.SINGLE(IF($B314 = "", "", IF(_xlfn.SINGLE(_xlfn.TEXTJOIN(" | ", TRUE, IF($B314 = "", "Missing Title", ""), IF($C314 = "", "Missing Date", ""), IF($D314 = "", "Missing Start", ""), IF($E314 = "", "Missing End", ""), IF($G314 = "", "Missing Required Attendees", ""), IF($T314 = "", "Missing Status", ""), IF(AND($D314 &lt;&gt; "", $E314 &lt;&gt; "", $D314 &gt;= $E314), "Start&gt;=End", ""), IF(OR($R314 = "", LEN($R314) &lt; 60, ISNUMBER(MATCH(TRIM($R314), StatusList, 0))), "Body overwritten/short", ""))) = "", "OK", _xlfn.TEXTJOIN(" | ", TRUE, IF($B314 = "", "Missing Title", ""), IF($C314 = "", "Missing Date", ""), IF($D314 = "", "Missing Start", ""), IF($E314 = "", "Missing End", ""), IF($G314 = "", "Missing Required Attendees", ""), IF($T314 = "", "Missing Status", ""), IF(AND($D314 &lt;&gt; "", $E314 &lt;&gt; "", $D314 &gt;= $E314), "Start&gt;=End", ""), IF(OR($R314 = "", LEN($R314) &lt; 60, ISNUMBER(MATCH(TRIM($R314), StatusList, 0))), "Body overwritten/short", "")))))</f>
        <v/>
      </c>
    </row>
    <row r="315" spans="2:22" ht="12.75" customHeight="1">
      <c r="B315" s="25"/>
      <c r="C315" s="34"/>
      <c r="D315" s="38"/>
      <c r="E315" s="38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16" t="str">
        <f>IF($L315&lt;&gt;"","Purpose "&amp;CHAR(10)&amp;$L315&amp;CHAR(10)&amp;CHAR(10),"")&amp;
IF($M315&lt;&gt;"","Stops (in order) "&amp;CHAR(10)&amp;$M315&amp;CHAR(10)&amp;CHAR(10),"")&amp;
IF($N315&lt;&gt;"","To-Do (hard requirements) "&amp;CHAR(10)&amp;$N315&amp;CHAR(10)&amp;CHAR(10),"")&amp;
IF($O315&lt;&gt;"","Suggested Timeline "&amp;CHAR(10)&amp;$O315&amp;CHAR(10)&amp;CHAR(10),"")&amp;
IF($P315&lt;&gt;"","Guardrails "&amp;CHAR(10)&amp;$P315&amp;CHAR(10)&amp;CHAR(10),"")&amp;
IF($Q315&lt;&gt;"","Completion signals "&amp;CHAR(10)&amp;$Q315,"")</f>
        <v/>
      </c>
      <c r="S315" s="25"/>
      <c r="T315" s="25"/>
      <c r="U315" s="8"/>
      <c r="V315" s="8" t="str">
        <f>_xlfn.SINGLE(IF($B315 = "", "", IF(_xlfn.SINGLE(_xlfn.TEXTJOIN(" | ", TRUE, IF($B315 = "", "Missing Title", ""), IF($C315 = "", "Missing Date", ""), IF($D315 = "", "Missing Start", ""), IF($E315 = "", "Missing End", ""), IF($G315 = "", "Missing Required Attendees", ""), IF($T315 = "", "Missing Status", ""), IF(AND($D315 &lt;&gt; "", $E315 &lt;&gt; "", $D315 &gt;= $E315), "Start&gt;=End", ""), IF(OR($R315 = "", LEN($R315) &lt; 60, ISNUMBER(MATCH(TRIM($R315), StatusList, 0))), "Body overwritten/short", ""))) = "", "OK", _xlfn.TEXTJOIN(" | ", TRUE, IF($B315 = "", "Missing Title", ""), IF($C315 = "", "Missing Date", ""), IF($D315 = "", "Missing Start", ""), IF($E315 = "", "Missing End", ""), IF($G315 = "", "Missing Required Attendees", ""), IF($T315 = "", "Missing Status", ""), IF(AND($D315 &lt;&gt; "", $E315 &lt;&gt; "", $D315 &gt;= $E315), "Start&gt;=End", ""), IF(OR($R315 = "", LEN($R315) &lt; 60, ISNUMBER(MATCH(TRIM($R315), StatusList, 0))), "Body overwritten/short", "")))))</f>
        <v/>
      </c>
    </row>
    <row r="316" spans="2:22" ht="12.75" customHeight="1">
      <c r="B316" s="25"/>
      <c r="C316" s="34"/>
      <c r="D316" s="38"/>
      <c r="E316" s="38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16" t="str">
        <f>IF($L316&lt;&gt;"","Purpose "&amp;CHAR(10)&amp;$L316&amp;CHAR(10)&amp;CHAR(10),"")&amp;
IF($M316&lt;&gt;"","Stops (in order) "&amp;CHAR(10)&amp;$M316&amp;CHAR(10)&amp;CHAR(10),"")&amp;
IF($N316&lt;&gt;"","To-Do (hard requirements) "&amp;CHAR(10)&amp;$N316&amp;CHAR(10)&amp;CHAR(10),"")&amp;
IF($O316&lt;&gt;"","Suggested Timeline "&amp;CHAR(10)&amp;$O316&amp;CHAR(10)&amp;CHAR(10),"")&amp;
IF($P316&lt;&gt;"","Guardrails "&amp;CHAR(10)&amp;$P316&amp;CHAR(10)&amp;CHAR(10),"")&amp;
IF($Q316&lt;&gt;"","Completion signals "&amp;CHAR(10)&amp;$Q316,"")</f>
        <v/>
      </c>
      <c r="S316" s="25"/>
      <c r="T316" s="25"/>
      <c r="U316" s="8"/>
      <c r="V316" s="8" t="str">
        <f>_xlfn.SINGLE(IF($B316 = "", "", IF(_xlfn.SINGLE(_xlfn.TEXTJOIN(" | ", TRUE, IF($B316 = "", "Missing Title", ""), IF($C316 = "", "Missing Date", ""), IF($D316 = "", "Missing Start", ""), IF($E316 = "", "Missing End", ""), IF($G316 = "", "Missing Required Attendees", ""), IF($T316 = "", "Missing Status", ""), IF(AND($D316 &lt;&gt; "", $E316 &lt;&gt; "", $D316 &gt;= $E316), "Start&gt;=End", ""), IF(OR($R316 = "", LEN($R316) &lt; 60, ISNUMBER(MATCH(TRIM($R316), StatusList, 0))), "Body overwritten/short", ""))) = "", "OK", _xlfn.TEXTJOIN(" | ", TRUE, IF($B316 = "", "Missing Title", ""), IF($C316 = "", "Missing Date", ""), IF($D316 = "", "Missing Start", ""), IF($E316 = "", "Missing End", ""), IF($G316 = "", "Missing Required Attendees", ""), IF($T316 = "", "Missing Status", ""), IF(AND($D316 &lt;&gt; "", $E316 &lt;&gt; "", $D316 &gt;= $E316), "Start&gt;=End", ""), IF(OR($R316 = "", LEN($R316) &lt; 60, ISNUMBER(MATCH(TRIM($R316), StatusList, 0))), "Body overwritten/short", "")))))</f>
        <v/>
      </c>
    </row>
    <row r="317" spans="2:22" ht="12.75" customHeight="1">
      <c r="B317" s="25"/>
      <c r="C317" s="34"/>
      <c r="D317" s="38"/>
      <c r="E317" s="38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16" t="str">
        <f>IF($L317&lt;&gt;"","Purpose "&amp;CHAR(10)&amp;$L317&amp;CHAR(10)&amp;CHAR(10),"")&amp;
IF($M317&lt;&gt;"","Stops (in order) "&amp;CHAR(10)&amp;$M317&amp;CHAR(10)&amp;CHAR(10),"")&amp;
IF($N317&lt;&gt;"","To-Do (hard requirements) "&amp;CHAR(10)&amp;$N317&amp;CHAR(10)&amp;CHAR(10),"")&amp;
IF($O317&lt;&gt;"","Suggested Timeline "&amp;CHAR(10)&amp;$O317&amp;CHAR(10)&amp;CHAR(10),"")&amp;
IF($P317&lt;&gt;"","Guardrails "&amp;CHAR(10)&amp;$P317&amp;CHAR(10)&amp;CHAR(10),"")&amp;
IF($Q317&lt;&gt;"","Completion signals "&amp;CHAR(10)&amp;$Q317,"")</f>
        <v/>
      </c>
      <c r="S317" s="25"/>
      <c r="T317" s="25"/>
      <c r="U317" s="8"/>
      <c r="V317" s="8" t="str">
        <f>_xlfn.SINGLE(IF($B317 = "", "", IF(_xlfn.SINGLE(_xlfn.TEXTJOIN(" | ", TRUE, IF($B317 = "", "Missing Title", ""), IF($C317 = "", "Missing Date", ""), IF($D317 = "", "Missing Start", ""), IF($E317 = "", "Missing End", ""), IF($G317 = "", "Missing Required Attendees", ""), IF($T317 = "", "Missing Status", ""), IF(AND($D317 &lt;&gt; "", $E317 &lt;&gt; "", $D317 &gt;= $E317), "Start&gt;=End", ""), IF(OR($R317 = "", LEN($R317) &lt; 60, ISNUMBER(MATCH(TRIM($R317), StatusList, 0))), "Body overwritten/short", ""))) = "", "OK", _xlfn.TEXTJOIN(" | ", TRUE, IF($B317 = "", "Missing Title", ""), IF($C317 = "", "Missing Date", ""), IF($D317 = "", "Missing Start", ""), IF($E317 = "", "Missing End", ""), IF($G317 = "", "Missing Required Attendees", ""), IF($T317 = "", "Missing Status", ""), IF(AND($D317 &lt;&gt; "", $E317 &lt;&gt; "", $D317 &gt;= $E317), "Start&gt;=End", ""), IF(OR($R317 = "", LEN($R317) &lt; 60, ISNUMBER(MATCH(TRIM($R317), StatusList, 0))), "Body overwritten/short", "")))))</f>
        <v/>
      </c>
    </row>
    <row r="318" spans="2:22" ht="12.75" customHeight="1">
      <c r="B318" s="25"/>
      <c r="C318" s="34"/>
      <c r="D318" s="38"/>
      <c r="E318" s="38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16" t="str">
        <f>IF($L318&lt;&gt;"","Purpose "&amp;CHAR(10)&amp;$L318&amp;CHAR(10)&amp;CHAR(10),"")&amp;
IF($M318&lt;&gt;"","Stops (in order) "&amp;CHAR(10)&amp;$M318&amp;CHAR(10)&amp;CHAR(10),"")&amp;
IF($N318&lt;&gt;"","To-Do (hard requirements) "&amp;CHAR(10)&amp;$N318&amp;CHAR(10)&amp;CHAR(10),"")&amp;
IF($O318&lt;&gt;"","Suggested Timeline "&amp;CHAR(10)&amp;$O318&amp;CHAR(10)&amp;CHAR(10),"")&amp;
IF($P318&lt;&gt;"","Guardrails "&amp;CHAR(10)&amp;$P318&amp;CHAR(10)&amp;CHAR(10),"")&amp;
IF($Q318&lt;&gt;"","Completion signals "&amp;CHAR(10)&amp;$Q318,"")</f>
        <v/>
      </c>
      <c r="S318" s="25"/>
      <c r="T318" s="25"/>
      <c r="U318" s="8"/>
      <c r="V318" s="8" t="str">
        <f>_xlfn.SINGLE(IF($B318 = "", "", IF(_xlfn.SINGLE(_xlfn.TEXTJOIN(" | ", TRUE, IF($B318 = "", "Missing Title", ""), IF($C318 = "", "Missing Date", ""), IF($D318 = "", "Missing Start", ""), IF($E318 = "", "Missing End", ""), IF($G318 = "", "Missing Required Attendees", ""), IF($T318 = "", "Missing Status", ""), IF(AND($D318 &lt;&gt; "", $E318 &lt;&gt; "", $D318 &gt;= $E318), "Start&gt;=End", ""), IF(OR($R318 = "", LEN($R318) &lt; 60, ISNUMBER(MATCH(TRIM($R318), StatusList, 0))), "Body overwritten/short", ""))) = "", "OK", _xlfn.TEXTJOIN(" | ", TRUE, IF($B318 = "", "Missing Title", ""), IF($C318 = "", "Missing Date", ""), IF($D318 = "", "Missing Start", ""), IF($E318 = "", "Missing End", ""), IF($G318 = "", "Missing Required Attendees", ""), IF($T318 = "", "Missing Status", ""), IF(AND($D318 &lt;&gt; "", $E318 &lt;&gt; "", $D318 &gt;= $E318), "Start&gt;=End", ""), IF(OR($R318 = "", LEN($R318) &lt; 60, ISNUMBER(MATCH(TRIM($R318), StatusList, 0))), "Body overwritten/short", "")))))</f>
        <v/>
      </c>
    </row>
    <row r="319" spans="2:22" ht="12.75" customHeight="1">
      <c r="B319" s="25"/>
      <c r="C319" s="34"/>
      <c r="D319" s="38"/>
      <c r="E319" s="38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16" t="str">
        <f>IF($L319&lt;&gt;"","Purpose "&amp;CHAR(10)&amp;$L319&amp;CHAR(10)&amp;CHAR(10),"")&amp;
IF($M319&lt;&gt;"","Stops (in order) "&amp;CHAR(10)&amp;$M319&amp;CHAR(10)&amp;CHAR(10),"")&amp;
IF($N319&lt;&gt;"","To-Do (hard requirements) "&amp;CHAR(10)&amp;$N319&amp;CHAR(10)&amp;CHAR(10),"")&amp;
IF($O319&lt;&gt;"","Suggested Timeline "&amp;CHAR(10)&amp;$O319&amp;CHAR(10)&amp;CHAR(10),"")&amp;
IF($P319&lt;&gt;"","Guardrails "&amp;CHAR(10)&amp;$P319&amp;CHAR(10)&amp;CHAR(10),"")&amp;
IF($Q319&lt;&gt;"","Completion signals "&amp;CHAR(10)&amp;$Q319,"")</f>
        <v/>
      </c>
      <c r="S319" s="25"/>
      <c r="T319" s="25"/>
      <c r="U319" s="8"/>
      <c r="V319" s="8" t="str">
        <f>_xlfn.SINGLE(IF($B319 = "", "", IF(_xlfn.SINGLE(_xlfn.TEXTJOIN(" | ", TRUE, IF($B319 = "", "Missing Title", ""), IF($C319 = "", "Missing Date", ""), IF($D319 = "", "Missing Start", ""), IF($E319 = "", "Missing End", ""), IF($G319 = "", "Missing Required Attendees", ""), IF($T319 = "", "Missing Status", ""), IF(AND($D319 &lt;&gt; "", $E319 &lt;&gt; "", $D319 &gt;= $E319), "Start&gt;=End", ""), IF(OR($R319 = "", LEN($R319) &lt; 60, ISNUMBER(MATCH(TRIM($R319), StatusList, 0))), "Body overwritten/short", ""))) = "", "OK", _xlfn.TEXTJOIN(" | ", TRUE, IF($B319 = "", "Missing Title", ""), IF($C319 = "", "Missing Date", ""), IF($D319 = "", "Missing Start", ""), IF($E319 = "", "Missing End", ""), IF($G319 = "", "Missing Required Attendees", ""), IF($T319 = "", "Missing Status", ""), IF(AND($D319 &lt;&gt; "", $E319 &lt;&gt; "", $D319 &gt;= $E319), "Start&gt;=End", ""), IF(OR($R319 = "", LEN($R319) &lt; 60, ISNUMBER(MATCH(TRIM($R319), StatusList, 0))), "Body overwritten/short", "")))))</f>
        <v/>
      </c>
    </row>
    <row r="320" spans="2:22" ht="12.75" customHeight="1">
      <c r="B320" s="25"/>
      <c r="C320" s="34"/>
      <c r="D320" s="38"/>
      <c r="E320" s="38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16" t="str">
        <f>IF($L320&lt;&gt;"","Purpose "&amp;CHAR(10)&amp;$L320&amp;CHAR(10)&amp;CHAR(10),"")&amp;
IF($M320&lt;&gt;"","Stops (in order) "&amp;CHAR(10)&amp;$M320&amp;CHAR(10)&amp;CHAR(10),"")&amp;
IF($N320&lt;&gt;"","To-Do (hard requirements) "&amp;CHAR(10)&amp;$N320&amp;CHAR(10)&amp;CHAR(10),"")&amp;
IF($O320&lt;&gt;"","Suggested Timeline "&amp;CHAR(10)&amp;$O320&amp;CHAR(10)&amp;CHAR(10),"")&amp;
IF($P320&lt;&gt;"","Guardrails "&amp;CHAR(10)&amp;$P320&amp;CHAR(10)&amp;CHAR(10),"")&amp;
IF($Q320&lt;&gt;"","Completion signals "&amp;CHAR(10)&amp;$Q320,"")</f>
        <v/>
      </c>
      <c r="S320" s="25"/>
      <c r="T320" s="25"/>
      <c r="U320" s="8"/>
      <c r="V320" s="8" t="str">
        <f>_xlfn.SINGLE(IF($B320 = "", "", IF(_xlfn.SINGLE(_xlfn.TEXTJOIN(" | ", TRUE, IF($B320 = "", "Missing Title", ""), IF($C320 = "", "Missing Date", ""), IF($D320 = "", "Missing Start", ""), IF($E320 = "", "Missing End", ""), IF($G320 = "", "Missing Required Attendees", ""), IF($T320 = "", "Missing Status", ""), IF(AND($D320 &lt;&gt; "", $E320 &lt;&gt; "", $D320 &gt;= $E320), "Start&gt;=End", ""), IF(OR($R320 = "", LEN($R320) &lt; 60, ISNUMBER(MATCH(TRIM($R320), StatusList, 0))), "Body overwritten/short", ""))) = "", "OK", _xlfn.TEXTJOIN(" | ", TRUE, IF($B320 = "", "Missing Title", ""), IF($C320 = "", "Missing Date", ""), IF($D320 = "", "Missing Start", ""), IF($E320 = "", "Missing End", ""), IF($G320 = "", "Missing Required Attendees", ""), IF($T320 = "", "Missing Status", ""), IF(AND($D320 &lt;&gt; "", $E320 &lt;&gt; "", $D320 &gt;= $E320), "Start&gt;=End", ""), IF(OR($R320 = "", LEN($R320) &lt; 60, ISNUMBER(MATCH(TRIM($R320), StatusList, 0))), "Body overwritten/short", "")))))</f>
        <v/>
      </c>
    </row>
    <row r="321" spans="2:22" ht="12.75" customHeight="1">
      <c r="B321" s="25"/>
      <c r="C321" s="34"/>
      <c r="D321" s="38"/>
      <c r="E321" s="38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16" t="str">
        <f>IF($L321&lt;&gt;"","Purpose "&amp;CHAR(10)&amp;$L321&amp;CHAR(10)&amp;CHAR(10),"")&amp;
IF($M321&lt;&gt;"","Stops (in order) "&amp;CHAR(10)&amp;$M321&amp;CHAR(10)&amp;CHAR(10),"")&amp;
IF($N321&lt;&gt;"","To-Do (hard requirements) "&amp;CHAR(10)&amp;$N321&amp;CHAR(10)&amp;CHAR(10),"")&amp;
IF($O321&lt;&gt;"","Suggested Timeline "&amp;CHAR(10)&amp;$O321&amp;CHAR(10)&amp;CHAR(10),"")&amp;
IF($P321&lt;&gt;"","Guardrails "&amp;CHAR(10)&amp;$P321&amp;CHAR(10)&amp;CHAR(10),"")&amp;
IF($Q321&lt;&gt;"","Completion signals "&amp;CHAR(10)&amp;$Q321,"")</f>
        <v/>
      </c>
      <c r="S321" s="25"/>
      <c r="T321" s="25"/>
      <c r="U321" s="8"/>
      <c r="V321" s="8" t="str">
        <f>_xlfn.SINGLE(IF($B321 = "", "", IF(_xlfn.SINGLE(_xlfn.TEXTJOIN(" | ", TRUE, IF($B321 = "", "Missing Title", ""), IF($C321 = "", "Missing Date", ""), IF($D321 = "", "Missing Start", ""), IF($E321 = "", "Missing End", ""), IF($G321 = "", "Missing Required Attendees", ""), IF($T321 = "", "Missing Status", ""), IF(AND($D321 &lt;&gt; "", $E321 &lt;&gt; "", $D321 &gt;= $E321), "Start&gt;=End", ""), IF(OR($R321 = "", LEN($R321) &lt; 60, ISNUMBER(MATCH(TRIM($R321), StatusList, 0))), "Body overwritten/short", ""))) = "", "OK", _xlfn.TEXTJOIN(" | ", TRUE, IF($B321 = "", "Missing Title", ""), IF($C321 = "", "Missing Date", ""), IF($D321 = "", "Missing Start", ""), IF($E321 = "", "Missing End", ""), IF($G321 = "", "Missing Required Attendees", ""), IF($T321 = "", "Missing Status", ""), IF(AND($D321 &lt;&gt; "", $E321 &lt;&gt; "", $D321 &gt;= $E321), "Start&gt;=End", ""), IF(OR($R321 = "", LEN($R321) &lt; 60, ISNUMBER(MATCH(TRIM($R321), StatusList, 0))), "Body overwritten/short", "")))))</f>
        <v/>
      </c>
    </row>
    <row r="322" spans="2:22" ht="12.75" customHeight="1">
      <c r="B322" s="25"/>
      <c r="C322" s="34"/>
      <c r="D322" s="38"/>
      <c r="E322" s="38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16" t="str">
        <f>IF($L322&lt;&gt;"","Purpose "&amp;CHAR(10)&amp;$L322&amp;CHAR(10)&amp;CHAR(10),"")&amp;
IF($M322&lt;&gt;"","Stops (in order) "&amp;CHAR(10)&amp;$M322&amp;CHAR(10)&amp;CHAR(10),"")&amp;
IF($N322&lt;&gt;"","To-Do (hard requirements) "&amp;CHAR(10)&amp;$N322&amp;CHAR(10)&amp;CHAR(10),"")&amp;
IF($O322&lt;&gt;"","Suggested Timeline "&amp;CHAR(10)&amp;$O322&amp;CHAR(10)&amp;CHAR(10),"")&amp;
IF($P322&lt;&gt;"","Guardrails "&amp;CHAR(10)&amp;$P322&amp;CHAR(10)&amp;CHAR(10),"")&amp;
IF($Q322&lt;&gt;"","Completion signals "&amp;CHAR(10)&amp;$Q322,"")</f>
        <v/>
      </c>
      <c r="S322" s="25"/>
      <c r="T322" s="25"/>
      <c r="U322" s="8"/>
      <c r="V322" s="8" t="str">
        <f>_xlfn.SINGLE(IF($B322 = "", "", IF(_xlfn.SINGLE(_xlfn.TEXTJOIN(" | ", TRUE, IF($B322 = "", "Missing Title", ""), IF($C322 = "", "Missing Date", ""), IF($D322 = "", "Missing Start", ""), IF($E322 = "", "Missing End", ""), IF($G322 = "", "Missing Required Attendees", ""), IF($T322 = "", "Missing Status", ""), IF(AND($D322 &lt;&gt; "", $E322 &lt;&gt; "", $D322 &gt;= $E322), "Start&gt;=End", ""), IF(OR($R322 = "", LEN($R322) &lt; 60, ISNUMBER(MATCH(TRIM($R322), StatusList, 0))), "Body overwritten/short", ""))) = "", "OK", _xlfn.TEXTJOIN(" | ", TRUE, IF($B322 = "", "Missing Title", ""), IF($C322 = "", "Missing Date", ""), IF($D322 = "", "Missing Start", ""), IF($E322 = "", "Missing End", ""), IF($G322 = "", "Missing Required Attendees", ""), IF($T322 = "", "Missing Status", ""), IF(AND($D322 &lt;&gt; "", $E322 &lt;&gt; "", $D322 &gt;= $E322), "Start&gt;=End", ""), IF(OR($R322 = "", LEN($R322) &lt; 60, ISNUMBER(MATCH(TRIM($R322), StatusList, 0))), "Body overwritten/short", "")))))</f>
        <v/>
      </c>
    </row>
    <row r="323" spans="2:22" ht="12.75" customHeight="1">
      <c r="B323" s="25"/>
      <c r="C323" s="34"/>
      <c r="D323" s="38"/>
      <c r="E323" s="38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16" t="str">
        <f>IF($L323&lt;&gt;"","Purpose "&amp;CHAR(10)&amp;$L323&amp;CHAR(10)&amp;CHAR(10),"")&amp;
IF($M323&lt;&gt;"","Stops (in order) "&amp;CHAR(10)&amp;$M323&amp;CHAR(10)&amp;CHAR(10),"")&amp;
IF($N323&lt;&gt;"","To-Do (hard requirements) "&amp;CHAR(10)&amp;$N323&amp;CHAR(10)&amp;CHAR(10),"")&amp;
IF($O323&lt;&gt;"","Suggested Timeline "&amp;CHAR(10)&amp;$O323&amp;CHAR(10)&amp;CHAR(10),"")&amp;
IF($P323&lt;&gt;"","Guardrails "&amp;CHAR(10)&amp;$P323&amp;CHAR(10)&amp;CHAR(10),"")&amp;
IF($Q323&lt;&gt;"","Completion signals "&amp;CHAR(10)&amp;$Q323,"")</f>
        <v/>
      </c>
      <c r="S323" s="25"/>
      <c r="T323" s="25"/>
      <c r="U323" s="8"/>
      <c r="V323" s="8" t="str">
        <f>_xlfn.SINGLE(IF($B323 = "", "", IF(_xlfn.SINGLE(_xlfn.TEXTJOIN(" | ", TRUE, IF($B323 = "", "Missing Title", ""), IF($C323 = "", "Missing Date", ""), IF($D323 = "", "Missing Start", ""), IF($E323 = "", "Missing End", ""), IF($G323 = "", "Missing Required Attendees", ""), IF($T323 = "", "Missing Status", ""), IF(AND($D323 &lt;&gt; "", $E323 &lt;&gt; "", $D323 &gt;= $E323), "Start&gt;=End", ""), IF(OR($R323 = "", LEN($R323) &lt; 60, ISNUMBER(MATCH(TRIM($R323), StatusList, 0))), "Body overwritten/short", ""))) = "", "OK", _xlfn.TEXTJOIN(" | ", TRUE, IF($B323 = "", "Missing Title", ""), IF($C323 = "", "Missing Date", ""), IF($D323 = "", "Missing Start", ""), IF($E323 = "", "Missing End", ""), IF($G323 = "", "Missing Required Attendees", ""), IF($T323 = "", "Missing Status", ""), IF(AND($D323 &lt;&gt; "", $E323 &lt;&gt; "", $D323 &gt;= $E323), "Start&gt;=End", ""), IF(OR($R323 = "", LEN($R323) &lt; 60, ISNUMBER(MATCH(TRIM($R323), StatusList, 0))), "Body overwritten/short", "")))))</f>
        <v/>
      </c>
    </row>
    <row r="324" spans="2:22" ht="12.75" customHeight="1">
      <c r="B324" s="25"/>
      <c r="C324" s="34"/>
      <c r="D324" s="38"/>
      <c r="E324" s="38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16" t="str">
        <f>IF($L324&lt;&gt;"","Purpose "&amp;CHAR(10)&amp;$L324&amp;CHAR(10)&amp;CHAR(10),"")&amp;
IF($M324&lt;&gt;"","Stops (in order) "&amp;CHAR(10)&amp;$M324&amp;CHAR(10)&amp;CHAR(10),"")&amp;
IF($N324&lt;&gt;"","To-Do (hard requirements) "&amp;CHAR(10)&amp;$N324&amp;CHAR(10)&amp;CHAR(10),"")&amp;
IF($O324&lt;&gt;"","Suggested Timeline "&amp;CHAR(10)&amp;$O324&amp;CHAR(10)&amp;CHAR(10),"")&amp;
IF($P324&lt;&gt;"","Guardrails "&amp;CHAR(10)&amp;$P324&amp;CHAR(10)&amp;CHAR(10),"")&amp;
IF($Q324&lt;&gt;"","Completion signals "&amp;CHAR(10)&amp;$Q324,"")</f>
        <v/>
      </c>
      <c r="S324" s="25"/>
      <c r="T324" s="25"/>
      <c r="U324" s="8"/>
      <c r="V324" s="8" t="str">
        <f>_xlfn.SINGLE(IF($B324 = "", "", IF(_xlfn.SINGLE(_xlfn.TEXTJOIN(" | ", TRUE, IF($B324 = "", "Missing Title", ""), IF($C324 = "", "Missing Date", ""), IF($D324 = "", "Missing Start", ""), IF($E324 = "", "Missing End", ""), IF($G324 = "", "Missing Required Attendees", ""), IF($T324 = "", "Missing Status", ""), IF(AND($D324 &lt;&gt; "", $E324 &lt;&gt; "", $D324 &gt;= $E324), "Start&gt;=End", ""), IF(OR($R324 = "", LEN($R324) &lt; 60, ISNUMBER(MATCH(TRIM($R324), StatusList, 0))), "Body overwritten/short", ""))) = "", "OK", _xlfn.TEXTJOIN(" | ", TRUE, IF($B324 = "", "Missing Title", ""), IF($C324 = "", "Missing Date", ""), IF($D324 = "", "Missing Start", ""), IF($E324 = "", "Missing End", ""), IF($G324 = "", "Missing Required Attendees", ""), IF($T324 = "", "Missing Status", ""), IF(AND($D324 &lt;&gt; "", $E324 &lt;&gt; "", $D324 &gt;= $E324), "Start&gt;=End", ""), IF(OR($R324 = "", LEN($R324) &lt; 60, ISNUMBER(MATCH(TRIM($R324), StatusList, 0))), "Body overwritten/short", "")))))</f>
        <v/>
      </c>
    </row>
    <row r="325" spans="2:22" ht="12.75" customHeight="1">
      <c r="B325" s="25"/>
      <c r="C325" s="34"/>
      <c r="D325" s="38"/>
      <c r="E325" s="38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16" t="str">
        <f>IF($L325&lt;&gt;"","Purpose "&amp;CHAR(10)&amp;$L325&amp;CHAR(10)&amp;CHAR(10),"")&amp;
IF($M325&lt;&gt;"","Stops (in order) "&amp;CHAR(10)&amp;$M325&amp;CHAR(10)&amp;CHAR(10),"")&amp;
IF($N325&lt;&gt;"","To-Do (hard requirements) "&amp;CHAR(10)&amp;$N325&amp;CHAR(10)&amp;CHAR(10),"")&amp;
IF($O325&lt;&gt;"","Suggested Timeline "&amp;CHAR(10)&amp;$O325&amp;CHAR(10)&amp;CHAR(10),"")&amp;
IF($P325&lt;&gt;"","Guardrails "&amp;CHAR(10)&amp;$P325&amp;CHAR(10)&amp;CHAR(10),"")&amp;
IF($Q325&lt;&gt;"","Completion signals "&amp;CHAR(10)&amp;$Q325,"")</f>
        <v/>
      </c>
      <c r="S325" s="25"/>
      <c r="T325" s="25"/>
      <c r="U325" s="8"/>
      <c r="V325" s="8" t="str">
        <f>_xlfn.SINGLE(IF($B325 = "", "", IF(_xlfn.SINGLE(_xlfn.TEXTJOIN(" | ", TRUE, IF($B325 = "", "Missing Title", ""), IF($C325 = "", "Missing Date", ""), IF($D325 = "", "Missing Start", ""), IF($E325 = "", "Missing End", ""), IF($G325 = "", "Missing Required Attendees", ""), IF($T325 = "", "Missing Status", ""), IF(AND($D325 &lt;&gt; "", $E325 &lt;&gt; "", $D325 &gt;= $E325), "Start&gt;=End", ""), IF(OR($R325 = "", LEN($R325) &lt; 60, ISNUMBER(MATCH(TRIM($R325), StatusList, 0))), "Body overwritten/short", ""))) = "", "OK", _xlfn.TEXTJOIN(" | ", TRUE, IF($B325 = "", "Missing Title", ""), IF($C325 = "", "Missing Date", ""), IF($D325 = "", "Missing Start", ""), IF($E325 = "", "Missing End", ""), IF($G325 = "", "Missing Required Attendees", ""), IF($T325 = "", "Missing Status", ""), IF(AND($D325 &lt;&gt; "", $E325 &lt;&gt; "", $D325 &gt;= $E325), "Start&gt;=End", ""), IF(OR($R325 = "", LEN($R325) &lt; 60, ISNUMBER(MATCH(TRIM($R325), StatusList, 0))), "Body overwritten/short", "")))))</f>
        <v/>
      </c>
    </row>
    <row r="326" spans="2:22" ht="12.75" customHeight="1">
      <c r="B326" s="25"/>
      <c r="C326" s="34"/>
      <c r="D326" s="38"/>
      <c r="E326" s="38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16" t="str">
        <f>IF($L326&lt;&gt;"","Purpose "&amp;CHAR(10)&amp;$L326&amp;CHAR(10)&amp;CHAR(10),"")&amp;
IF($M326&lt;&gt;"","Stops (in order) "&amp;CHAR(10)&amp;$M326&amp;CHAR(10)&amp;CHAR(10),"")&amp;
IF($N326&lt;&gt;"","To-Do (hard requirements) "&amp;CHAR(10)&amp;$N326&amp;CHAR(10)&amp;CHAR(10),"")&amp;
IF($O326&lt;&gt;"","Suggested Timeline "&amp;CHAR(10)&amp;$O326&amp;CHAR(10)&amp;CHAR(10),"")&amp;
IF($P326&lt;&gt;"","Guardrails "&amp;CHAR(10)&amp;$P326&amp;CHAR(10)&amp;CHAR(10),"")&amp;
IF($Q326&lt;&gt;"","Completion signals "&amp;CHAR(10)&amp;$Q326,"")</f>
        <v/>
      </c>
      <c r="S326" s="25"/>
      <c r="T326" s="25"/>
      <c r="U326" s="8"/>
      <c r="V326" s="8" t="str">
        <f>_xlfn.SINGLE(IF($B326 = "", "", IF(_xlfn.SINGLE(_xlfn.TEXTJOIN(" | ", TRUE, IF($B326 = "", "Missing Title", ""), IF($C326 = "", "Missing Date", ""), IF($D326 = "", "Missing Start", ""), IF($E326 = "", "Missing End", ""), IF($G326 = "", "Missing Required Attendees", ""), IF($T326 = "", "Missing Status", ""), IF(AND($D326 &lt;&gt; "", $E326 &lt;&gt; "", $D326 &gt;= $E326), "Start&gt;=End", ""), IF(OR($R326 = "", LEN($R326) &lt; 60, ISNUMBER(MATCH(TRIM($R326), StatusList, 0))), "Body overwritten/short", ""))) = "", "OK", _xlfn.TEXTJOIN(" | ", TRUE, IF($B326 = "", "Missing Title", ""), IF($C326 = "", "Missing Date", ""), IF($D326 = "", "Missing Start", ""), IF($E326 = "", "Missing End", ""), IF($G326 = "", "Missing Required Attendees", ""), IF($T326 = "", "Missing Status", ""), IF(AND($D326 &lt;&gt; "", $E326 &lt;&gt; "", $D326 &gt;= $E326), "Start&gt;=End", ""), IF(OR($R326 = "", LEN($R326) &lt; 60, ISNUMBER(MATCH(TRIM($R326), StatusList, 0))), "Body overwritten/short", "")))))</f>
        <v/>
      </c>
    </row>
    <row r="327" spans="2:22" ht="12.75" customHeight="1">
      <c r="B327" s="25"/>
      <c r="C327" s="34"/>
      <c r="D327" s="38"/>
      <c r="E327" s="38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16" t="str">
        <f>IF($L327&lt;&gt;"","Purpose "&amp;CHAR(10)&amp;$L327&amp;CHAR(10)&amp;CHAR(10),"")&amp;
IF($M327&lt;&gt;"","Stops (in order) "&amp;CHAR(10)&amp;$M327&amp;CHAR(10)&amp;CHAR(10),"")&amp;
IF($N327&lt;&gt;"","To-Do (hard requirements) "&amp;CHAR(10)&amp;$N327&amp;CHAR(10)&amp;CHAR(10),"")&amp;
IF($O327&lt;&gt;"","Suggested Timeline "&amp;CHAR(10)&amp;$O327&amp;CHAR(10)&amp;CHAR(10),"")&amp;
IF($P327&lt;&gt;"","Guardrails "&amp;CHAR(10)&amp;$P327&amp;CHAR(10)&amp;CHAR(10),"")&amp;
IF($Q327&lt;&gt;"","Completion signals "&amp;CHAR(10)&amp;$Q327,"")</f>
        <v/>
      </c>
      <c r="S327" s="25"/>
      <c r="T327" s="25"/>
      <c r="U327" s="8"/>
      <c r="V327" s="8" t="str">
        <f>_xlfn.SINGLE(IF($B327 = "", "", IF(_xlfn.SINGLE(_xlfn.TEXTJOIN(" | ", TRUE, IF($B327 = "", "Missing Title", ""), IF($C327 = "", "Missing Date", ""), IF($D327 = "", "Missing Start", ""), IF($E327 = "", "Missing End", ""), IF($G327 = "", "Missing Required Attendees", ""), IF($T327 = "", "Missing Status", ""), IF(AND($D327 &lt;&gt; "", $E327 &lt;&gt; "", $D327 &gt;= $E327), "Start&gt;=End", ""), IF(OR($R327 = "", LEN($R327) &lt; 60, ISNUMBER(MATCH(TRIM($R327), StatusList, 0))), "Body overwritten/short", ""))) = "", "OK", _xlfn.TEXTJOIN(" | ", TRUE, IF($B327 = "", "Missing Title", ""), IF($C327 = "", "Missing Date", ""), IF($D327 = "", "Missing Start", ""), IF($E327 = "", "Missing End", ""), IF($G327 = "", "Missing Required Attendees", ""), IF($T327 = "", "Missing Status", ""), IF(AND($D327 &lt;&gt; "", $E327 &lt;&gt; "", $D327 &gt;= $E327), "Start&gt;=End", ""), IF(OR($R327 = "", LEN($R327) &lt; 60, ISNUMBER(MATCH(TRIM($R327), StatusList, 0))), "Body overwritten/short", "")))))</f>
        <v/>
      </c>
    </row>
    <row r="328" spans="2:22" ht="12.75" customHeight="1">
      <c r="B328" s="25"/>
      <c r="C328" s="34"/>
      <c r="D328" s="38"/>
      <c r="E328" s="38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16" t="str">
        <f>IF($L328&lt;&gt;"","Purpose "&amp;CHAR(10)&amp;$L328&amp;CHAR(10)&amp;CHAR(10),"")&amp;
IF($M328&lt;&gt;"","Stops (in order) "&amp;CHAR(10)&amp;$M328&amp;CHAR(10)&amp;CHAR(10),"")&amp;
IF($N328&lt;&gt;"","To-Do (hard requirements) "&amp;CHAR(10)&amp;$N328&amp;CHAR(10)&amp;CHAR(10),"")&amp;
IF($O328&lt;&gt;"","Suggested Timeline "&amp;CHAR(10)&amp;$O328&amp;CHAR(10)&amp;CHAR(10),"")&amp;
IF($P328&lt;&gt;"","Guardrails "&amp;CHAR(10)&amp;$P328&amp;CHAR(10)&amp;CHAR(10),"")&amp;
IF($Q328&lt;&gt;"","Completion signals "&amp;CHAR(10)&amp;$Q328,"")</f>
        <v/>
      </c>
      <c r="S328" s="25"/>
      <c r="T328" s="25"/>
      <c r="U328" s="8"/>
      <c r="V328" s="8" t="str">
        <f>_xlfn.SINGLE(IF($B328 = "", "", IF(_xlfn.SINGLE(_xlfn.TEXTJOIN(" | ", TRUE, IF($B328 = "", "Missing Title", ""), IF($C328 = "", "Missing Date", ""), IF($D328 = "", "Missing Start", ""), IF($E328 = "", "Missing End", ""), IF($G328 = "", "Missing Required Attendees", ""), IF($T328 = "", "Missing Status", ""), IF(AND($D328 &lt;&gt; "", $E328 &lt;&gt; "", $D328 &gt;= $E328), "Start&gt;=End", ""), IF(OR($R328 = "", LEN($R328) &lt; 60, ISNUMBER(MATCH(TRIM($R328), StatusList, 0))), "Body overwritten/short", ""))) = "", "OK", _xlfn.TEXTJOIN(" | ", TRUE, IF($B328 = "", "Missing Title", ""), IF($C328 = "", "Missing Date", ""), IF($D328 = "", "Missing Start", ""), IF($E328 = "", "Missing End", ""), IF($G328 = "", "Missing Required Attendees", ""), IF($T328 = "", "Missing Status", ""), IF(AND($D328 &lt;&gt; "", $E328 &lt;&gt; "", $D328 &gt;= $E328), "Start&gt;=End", ""), IF(OR($R328 = "", LEN($R328) &lt; 60, ISNUMBER(MATCH(TRIM($R328), StatusList, 0))), "Body overwritten/short", "")))))</f>
        <v/>
      </c>
    </row>
    <row r="329" spans="2:22" ht="12.75" customHeight="1">
      <c r="B329" s="25"/>
      <c r="C329" s="34"/>
      <c r="D329" s="38"/>
      <c r="E329" s="38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16" t="str">
        <f>IF($L329&lt;&gt;"","Purpose "&amp;CHAR(10)&amp;$L329&amp;CHAR(10)&amp;CHAR(10),"")&amp;
IF($M329&lt;&gt;"","Stops (in order) "&amp;CHAR(10)&amp;$M329&amp;CHAR(10)&amp;CHAR(10),"")&amp;
IF($N329&lt;&gt;"","To-Do (hard requirements) "&amp;CHAR(10)&amp;$N329&amp;CHAR(10)&amp;CHAR(10),"")&amp;
IF($O329&lt;&gt;"","Suggested Timeline "&amp;CHAR(10)&amp;$O329&amp;CHAR(10)&amp;CHAR(10),"")&amp;
IF($P329&lt;&gt;"","Guardrails "&amp;CHAR(10)&amp;$P329&amp;CHAR(10)&amp;CHAR(10),"")&amp;
IF($Q329&lt;&gt;"","Completion signals "&amp;CHAR(10)&amp;$Q329,"")</f>
        <v/>
      </c>
      <c r="S329" s="25"/>
      <c r="T329" s="25"/>
      <c r="U329" s="8"/>
      <c r="V329" s="8" t="str">
        <f>_xlfn.SINGLE(IF($B329 = "", "", IF(_xlfn.SINGLE(_xlfn.TEXTJOIN(" | ", TRUE, IF($B329 = "", "Missing Title", ""), IF($C329 = "", "Missing Date", ""), IF($D329 = "", "Missing Start", ""), IF($E329 = "", "Missing End", ""), IF($G329 = "", "Missing Required Attendees", ""), IF($T329 = "", "Missing Status", ""), IF(AND($D329 &lt;&gt; "", $E329 &lt;&gt; "", $D329 &gt;= $E329), "Start&gt;=End", ""), IF(OR($R329 = "", LEN($R329) &lt; 60, ISNUMBER(MATCH(TRIM($R329), StatusList, 0))), "Body overwritten/short", ""))) = "", "OK", _xlfn.TEXTJOIN(" | ", TRUE, IF($B329 = "", "Missing Title", ""), IF($C329 = "", "Missing Date", ""), IF($D329 = "", "Missing Start", ""), IF($E329 = "", "Missing End", ""), IF($G329 = "", "Missing Required Attendees", ""), IF($T329 = "", "Missing Status", ""), IF(AND($D329 &lt;&gt; "", $E329 &lt;&gt; "", $D329 &gt;= $E329), "Start&gt;=End", ""), IF(OR($R329 = "", LEN($R329) &lt; 60, ISNUMBER(MATCH(TRIM($R329), StatusList, 0))), "Body overwritten/short", "")))))</f>
        <v/>
      </c>
    </row>
    <row r="330" spans="2:22" ht="12.75" customHeight="1">
      <c r="B330" s="25"/>
      <c r="C330" s="34"/>
      <c r="D330" s="38"/>
      <c r="E330" s="38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16" t="str">
        <f>IF($L330&lt;&gt;"","Purpose "&amp;CHAR(10)&amp;$L330&amp;CHAR(10)&amp;CHAR(10),"")&amp;
IF($M330&lt;&gt;"","Stops (in order) "&amp;CHAR(10)&amp;$M330&amp;CHAR(10)&amp;CHAR(10),"")&amp;
IF($N330&lt;&gt;"","To-Do (hard requirements) "&amp;CHAR(10)&amp;$N330&amp;CHAR(10)&amp;CHAR(10),"")&amp;
IF($O330&lt;&gt;"","Suggested Timeline "&amp;CHAR(10)&amp;$O330&amp;CHAR(10)&amp;CHAR(10),"")&amp;
IF($P330&lt;&gt;"","Guardrails "&amp;CHAR(10)&amp;$P330&amp;CHAR(10)&amp;CHAR(10),"")&amp;
IF($Q330&lt;&gt;"","Completion signals "&amp;CHAR(10)&amp;$Q330,"")</f>
        <v/>
      </c>
      <c r="S330" s="25"/>
      <c r="T330" s="25"/>
      <c r="U330" s="8"/>
      <c r="V330" s="8" t="str">
        <f>_xlfn.SINGLE(IF($B330 = "", "", IF(_xlfn.SINGLE(_xlfn.TEXTJOIN(" | ", TRUE, IF($B330 = "", "Missing Title", ""), IF($C330 = "", "Missing Date", ""), IF($D330 = "", "Missing Start", ""), IF($E330 = "", "Missing End", ""), IF($G330 = "", "Missing Required Attendees", ""), IF($T330 = "", "Missing Status", ""), IF(AND($D330 &lt;&gt; "", $E330 &lt;&gt; "", $D330 &gt;= $E330), "Start&gt;=End", ""), IF(OR($R330 = "", LEN($R330) &lt; 60, ISNUMBER(MATCH(TRIM($R330), StatusList, 0))), "Body overwritten/short", ""))) = "", "OK", _xlfn.TEXTJOIN(" | ", TRUE, IF($B330 = "", "Missing Title", ""), IF($C330 = "", "Missing Date", ""), IF($D330 = "", "Missing Start", ""), IF($E330 = "", "Missing End", ""), IF($G330 = "", "Missing Required Attendees", ""), IF($T330 = "", "Missing Status", ""), IF(AND($D330 &lt;&gt; "", $E330 &lt;&gt; "", $D330 &gt;= $E330), "Start&gt;=End", ""), IF(OR($R330 = "", LEN($R330) &lt; 60, ISNUMBER(MATCH(TRIM($R330), StatusList, 0))), "Body overwritten/short", "")))))</f>
        <v/>
      </c>
    </row>
    <row r="331" spans="2:22" ht="12.75" customHeight="1">
      <c r="B331" s="25"/>
      <c r="C331" s="34"/>
      <c r="D331" s="38"/>
      <c r="E331" s="38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16" t="str">
        <f>IF($L331&lt;&gt;"","Purpose "&amp;CHAR(10)&amp;$L331&amp;CHAR(10)&amp;CHAR(10),"")&amp;
IF($M331&lt;&gt;"","Stops (in order) "&amp;CHAR(10)&amp;$M331&amp;CHAR(10)&amp;CHAR(10),"")&amp;
IF($N331&lt;&gt;"","To-Do (hard requirements) "&amp;CHAR(10)&amp;$N331&amp;CHAR(10)&amp;CHAR(10),"")&amp;
IF($O331&lt;&gt;"","Suggested Timeline "&amp;CHAR(10)&amp;$O331&amp;CHAR(10)&amp;CHAR(10),"")&amp;
IF($P331&lt;&gt;"","Guardrails "&amp;CHAR(10)&amp;$P331&amp;CHAR(10)&amp;CHAR(10),"")&amp;
IF($Q331&lt;&gt;"","Completion signals "&amp;CHAR(10)&amp;$Q331,"")</f>
        <v/>
      </c>
      <c r="S331" s="25"/>
      <c r="T331" s="25"/>
      <c r="U331" s="8"/>
      <c r="V331" s="8" t="str">
        <f>_xlfn.SINGLE(IF($B331 = "", "", IF(_xlfn.SINGLE(_xlfn.TEXTJOIN(" | ", TRUE, IF($B331 = "", "Missing Title", ""), IF($C331 = "", "Missing Date", ""), IF($D331 = "", "Missing Start", ""), IF($E331 = "", "Missing End", ""), IF($G331 = "", "Missing Required Attendees", ""), IF($T331 = "", "Missing Status", ""), IF(AND($D331 &lt;&gt; "", $E331 &lt;&gt; "", $D331 &gt;= $E331), "Start&gt;=End", ""), IF(OR($R331 = "", LEN($R331) &lt; 60, ISNUMBER(MATCH(TRIM($R331), StatusList, 0))), "Body overwritten/short", ""))) = "", "OK", _xlfn.TEXTJOIN(" | ", TRUE, IF($B331 = "", "Missing Title", ""), IF($C331 = "", "Missing Date", ""), IF($D331 = "", "Missing Start", ""), IF($E331 = "", "Missing End", ""), IF($G331 = "", "Missing Required Attendees", ""), IF($T331 = "", "Missing Status", ""), IF(AND($D331 &lt;&gt; "", $E331 &lt;&gt; "", $D331 &gt;= $E331), "Start&gt;=End", ""), IF(OR($R331 = "", LEN($R331) &lt; 60, ISNUMBER(MATCH(TRIM($R331), StatusList, 0))), "Body overwritten/short", "")))))</f>
        <v/>
      </c>
    </row>
    <row r="332" spans="2:22" ht="12.75" customHeight="1">
      <c r="B332" s="25"/>
      <c r="C332" s="34"/>
      <c r="D332" s="38"/>
      <c r="E332" s="38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16" t="str">
        <f>IF($L332&lt;&gt;"","Purpose "&amp;CHAR(10)&amp;$L332&amp;CHAR(10)&amp;CHAR(10),"")&amp;
IF($M332&lt;&gt;"","Stops (in order) "&amp;CHAR(10)&amp;$M332&amp;CHAR(10)&amp;CHAR(10),"")&amp;
IF($N332&lt;&gt;"","To-Do (hard requirements) "&amp;CHAR(10)&amp;$N332&amp;CHAR(10)&amp;CHAR(10),"")&amp;
IF($O332&lt;&gt;"","Suggested Timeline "&amp;CHAR(10)&amp;$O332&amp;CHAR(10)&amp;CHAR(10),"")&amp;
IF($P332&lt;&gt;"","Guardrails "&amp;CHAR(10)&amp;$P332&amp;CHAR(10)&amp;CHAR(10),"")&amp;
IF($Q332&lt;&gt;"","Completion signals "&amp;CHAR(10)&amp;$Q332,"")</f>
        <v/>
      </c>
      <c r="S332" s="25"/>
      <c r="T332" s="25"/>
      <c r="U332" s="8"/>
      <c r="V332" s="8" t="str">
        <f>_xlfn.SINGLE(IF($B332 = "", "", IF(_xlfn.SINGLE(_xlfn.TEXTJOIN(" | ", TRUE, IF($B332 = "", "Missing Title", ""), IF($C332 = "", "Missing Date", ""), IF($D332 = "", "Missing Start", ""), IF($E332 = "", "Missing End", ""), IF($G332 = "", "Missing Required Attendees", ""), IF($T332 = "", "Missing Status", ""), IF(AND($D332 &lt;&gt; "", $E332 &lt;&gt; "", $D332 &gt;= $E332), "Start&gt;=End", ""), IF(OR($R332 = "", LEN($R332) &lt; 60, ISNUMBER(MATCH(TRIM($R332), StatusList, 0))), "Body overwritten/short", ""))) = "", "OK", _xlfn.TEXTJOIN(" | ", TRUE, IF($B332 = "", "Missing Title", ""), IF($C332 = "", "Missing Date", ""), IF($D332 = "", "Missing Start", ""), IF($E332 = "", "Missing End", ""), IF($G332 = "", "Missing Required Attendees", ""), IF($T332 = "", "Missing Status", ""), IF(AND($D332 &lt;&gt; "", $E332 &lt;&gt; "", $D332 &gt;= $E332), "Start&gt;=End", ""), IF(OR($R332 = "", LEN($R332) &lt; 60, ISNUMBER(MATCH(TRIM($R332), StatusList, 0))), "Body overwritten/short", "")))))</f>
        <v/>
      </c>
    </row>
    <row r="333" spans="2:22" ht="12.75" customHeight="1">
      <c r="B333" s="25"/>
      <c r="C333" s="34"/>
      <c r="D333" s="38"/>
      <c r="E333" s="38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16" t="str">
        <f>IF($L333&lt;&gt;"","Purpose "&amp;CHAR(10)&amp;$L333&amp;CHAR(10)&amp;CHAR(10),"")&amp;
IF($M333&lt;&gt;"","Stops (in order) "&amp;CHAR(10)&amp;$M333&amp;CHAR(10)&amp;CHAR(10),"")&amp;
IF($N333&lt;&gt;"","To-Do (hard requirements) "&amp;CHAR(10)&amp;$N333&amp;CHAR(10)&amp;CHAR(10),"")&amp;
IF($O333&lt;&gt;"","Suggested Timeline "&amp;CHAR(10)&amp;$O333&amp;CHAR(10)&amp;CHAR(10),"")&amp;
IF($P333&lt;&gt;"","Guardrails "&amp;CHAR(10)&amp;$P333&amp;CHAR(10)&amp;CHAR(10),"")&amp;
IF($Q333&lt;&gt;"","Completion signals "&amp;CHAR(10)&amp;$Q333,"")</f>
        <v/>
      </c>
      <c r="S333" s="25"/>
      <c r="T333" s="25"/>
      <c r="U333" s="8"/>
      <c r="V333" s="8" t="str">
        <f>_xlfn.SINGLE(IF($B333 = "", "", IF(_xlfn.SINGLE(_xlfn.TEXTJOIN(" | ", TRUE, IF($B333 = "", "Missing Title", ""), IF($C333 = "", "Missing Date", ""), IF($D333 = "", "Missing Start", ""), IF($E333 = "", "Missing End", ""), IF($G333 = "", "Missing Required Attendees", ""), IF($T333 = "", "Missing Status", ""), IF(AND($D333 &lt;&gt; "", $E333 &lt;&gt; "", $D333 &gt;= $E333), "Start&gt;=End", ""), IF(OR($R333 = "", LEN($R333) &lt; 60, ISNUMBER(MATCH(TRIM($R333), StatusList, 0))), "Body overwritten/short", ""))) = "", "OK", _xlfn.TEXTJOIN(" | ", TRUE, IF($B333 = "", "Missing Title", ""), IF($C333 = "", "Missing Date", ""), IF($D333 = "", "Missing Start", ""), IF($E333 = "", "Missing End", ""), IF($G333 = "", "Missing Required Attendees", ""), IF($T333 = "", "Missing Status", ""), IF(AND($D333 &lt;&gt; "", $E333 &lt;&gt; "", $D333 &gt;= $E333), "Start&gt;=End", ""), IF(OR($R333 = "", LEN($R333) &lt; 60, ISNUMBER(MATCH(TRIM($R333), StatusList, 0))), "Body overwritten/short", "")))))</f>
        <v/>
      </c>
    </row>
    <row r="334" spans="2:22" ht="12.75" customHeight="1">
      <c r="B334" s="25"/>
      <c r="C334" s="34"/>
      <c r="D334" s="38"/>
      <c r="E334" s="38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16" t="str">
        <f>IF($L334&lt;&gt;"","Purpose "&amp;CHAR(10)&amp;$L334&amp;CHAR(10)&amp;CHAR(10),"")&amp;
IF($M334&lt;&gt;"","Stops (in order) "&amp;CHAR(10)&amp;$M334&amp;CHAR(10)&amp;CHAR(10),"")&amp;
IF($N334&lt;&gt;"","To-Do (hard requirements) "&amp;CHAR(10)&amp;$N334&amp;CHAR(10)&amp;CHAR(10),"")&amp;
IF($O334&lt;&gt;"","Suggested Timeline "&amp;CHAR(10)&amp;$O334&amp;CHAR(10)&amp;CHAR(10),"")&amp;
IF($P334&lt;&gt;"","Guardrails "&amp;CHAR(10)&amp;$P334&amp;CHAR(10)&amp;CHAR(10),"")&amp;
IF($Q334&lt;&gt;"","Completion signals "&amp;CHAR(10)&amp;$Q334,"")</f>
        <v/>
      </c>
      <c r="S334" s="25"/>
      <c r="T334" s="25"/>
      <c r="U334" s="8"/>
      <c r="V334" s="8" t="str">
        <f>_xlfn.SINGLE(IF($B334 = "", "", IF(_xlfn.SINGLE(_xlfn.TEXTJOIN(" | ", TRUE, IF($B334 = "", "Missing Title", ""), IF($C334 = "", "Missing Date", ""), IF($D334 = "", "Missing Start", ""), IF($E334 = "", "Missing End", ""), IF($G334 = "", "Missing Required Attendees", ""), IF($T334 = "", "Missing Status", ""), IF(AND($D334 &lt;&gt; "", $E334 &lt;&gt; "", $D334 &gt;= $E334), "Start&gt;=End", ""), IF(OR($R334 = "", LEN($R334) &lt; 60, ISNUMBER(MATCH(TRIM($R334), StatusList, 0))), "Body overwritten/short", ""))) = "", "OK", _xlfn.TEXTJOIN(" | ", TRUE, IF($B334 = "", "Missing Title", ""), IF($C334 = "", "Missing Date", ""), IF($D334 = "", "Missing Start", ""), IF($E334 = "", "Missing End", ""), IF($G334 = "", "Missing Required Attendees", ""), IF($T334 = "", "Missing Status", ""), IF(AND($D334 &lt;&gt; "", $E334 &lt;&gt; "", $D334 &gt;= $E334), "Start&gt;=End", ""), IF(OR($R334 = "", LEN($R334) &lt; 60, ISNUMBER(MATCH(TRIM($R334), StatusList, 0))), "Body overwritten/short", "")))))</f>
        <v/>
      </c>
    </row>
    <row r="335" spans="2:22" ht="12.75" customHeight="1">
      <c r="B335" s="25"/>
      <c r="C335" s="34"/>
      <c r="D335" s="38"/>
      <c r="E335" s="38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16" t="str">
        <f>IF($L335&lt;&gt;"","Purpose "&amp;CHAR(10)&amp;$L335&amp;CHAR(10)&amp;CHAR(10),"")&amp;
IF($M335&lt;&gt;"","Stops (in order) "&amp;CHAR(10)&amp;$M335&amp;CHAR(10)&amp;CHAR(10),"")&amp;
IF($N335&lt;&gt;"","To-Do (hard requirements) "&amp;CHAR(10)&amp;$N335&amp;CHAR(10)&amp;CHAR(10),"")&amp;
IF($O335&lt;&gt;"","Suggested Timeline "&amp;CHAR(10)&amp;$O335&amp;CHAR(10)&amp;CHAR(10),"")&amp;
IF($P335&lt;&gt;"","Guardrails "&amp;CHAR(10)&amp;$P335&amp;CHAR(10)&amp;CHAR(10),"")&amp;
IF($Q335&lt;&gt;"","Completion signals "&amp;CHAR(10)&amp;$Q335,"")</f>
        <v/>
      </c>
      <c r="S335" s="25"/>
      <c r="T335" s="25"/>
      <c r="U335" s="8"/>
      <c r="V335" s="8" t="str">
        <f>_xlfn.SINGLE(IF($B335 = "", "", IF(_xlfn.SINGLE(_xlfn.TEXTJOIN(" | ", TRUE, IF($B335 = "", "Missing Title", ""), IF($C335 = "", "Missing Date", ""), IF($D335 = "", "Missing Start", ""), IF($E335 = "", "Missing End", ""), IF($G335 = "", "Missing Required Attendees", ""), IF($T335 = "", "Missing Status", ""), IF(AND($D335 &lt;&gt; "", $E335 &lt;&gt; "", $D335 &gt;= $E335), "Start&gt;=End", ""), IF(OR($R335 = "", LEN($R335) &lt; 60, ISNUMBER(MATCH(TRIM($R335), StatusList, 0))), "Body overwritten/short", ""))) = "", "OK", _xlfn.TEXTJOIN(" | ", TRUE, IF($B335 = "", "Missing Title", ""), IF($C335 = "", "Missing Date", ""), IF($D335 = "", "Missing Start", ""), IF($E335 = "", "Missing End", ""), IF($G335 = "", "Missing Required Attendees", ""), IF($T335 = "", "Missing Status", ""), IF(AND($D335 &lt;&gt; "", $E335 &lt;&gt; "", $D335 &gt;= $E335), "Start&gt;=End", ""), IF(OR($R335 = "", LEN($R335) &lt; 60, ISNUMBER(MATCH(TRIM($R335), StatusList, 0))), "Body overwritten/short", "")))))</f>
        <v/>
      </c>
    </row>
    <row r="336" spans="2:22" ht="12.75" customHeight="1">
      <c r="B336" s="25"/>
      <c r="C336" s="34"/>
      <c r="D336" s="38"/>
      <c r="E336" s="38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16" t="str">
        <f>IF($L336&lt;&gt;"","Purpose "&amp;CHAR(10)&amp;$L336&amp;CHAR(10)&amp;CHAR(10),"")&amp;
IF($M336&lt;&gt;"","Stops (in order) "&amp;CHAR(10)&amp;$M336&amp;CHAR(10)&amp;CHAR(10),"")&amp;
IF($N336&lt;&gt;"","To-Do (hard requirements) "&amp;CHAR(10)&amp;$N336&amp;CHAR(10)&amp;CHAR(10),"")&amp;
IF($O336&lt;&gt;"","Suggested Timeline "&amp;CHAR(10)&amp;$O336&amp;CHAR(10)&amp;CHAR(10),"")&amp;
IF($P336&lt;&gt;"","Guardrails "&amp;CHAR(10)&amp;$P336&amp;CHAR(10)&amp;CHAR(10),"")&amp;
IF($Q336&lt;&gt;"","Completion signals "&amp;CHAR(10)&amp;$Q336,"")</f>
        <v/>
      </c>
      <c r="S336" s="25"/>
      <c r="T336" s="25"/>
      <c r="U336" s="8"/>
      <c r="V336" s="8" t="str">
        <f>_xlfn.SINGLE(IF($B336 = "", "", IF(_xlfn.SINGLE(_xlfn.TEXTJOIN(" | ", TRUE, IF($B336 = "", "Missing Title", ""), IF($C336 = "", "Missing Date", ""), IF($D336 = "", "Missing Start", ""), IF($E336 = "", "Missing End", ""), IF($G336 = "", "Missing Required Attendees", ""), IF($T336 = "", "Missing Status", ""), IF(AND($D336 &lt;&gt; "", $E336 &lt;&gt; "", $D336 &gt;= $E336), "Start&gt;=End", ""), IF(OR($R336 = "", LEN($R336) &lt; 60, ISNUMBER(MATCH(TRIM($R336), StatusList, 0))), "Body overwritten/short", ""))) = "", "OK", _xlfn.TEXTJOIN(" | ", TRUE, IF($B336 = "", "Missing Title", ""), IF($C336 = "", "Missing Date", ""), IF($D336 = "", "Missing Start", ""), IF($E336 = "", "Missing End", ""), IF($G336 = "", "Missing Required Attendees", ""), IF($T336 = "", "Missing Status", ""), IF(AND($D336 &lt;&gt; "", $E336 &lt;&gt; "", $D336 &gt;= $E336), "Start&gt;=End", ""), IF(OR($R336 = "", LEN($R336) &lt; 60, ISNUMBER(MATCH(TRIM($R336), StatusList, 0))), "Body overwritten/short", "")))))</f>
        <v/>
      </c>
    </row>
    <row r="337" spans="2:22" ht="12.75" customHeight="1">
      <c r="B337" s="25"/>
      <c r="C337" s="34"/>
      <c r="D337" s="38"/>
      <c r="E337" s="38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16" t="str">
        <f>IF($L337&lt;&gt;"","Purpose "&amp;CHAR(10)&amp;$L337&amp;CHAR(10)&amp;CHAR(10),"")&amp;
IF($M337&lt;&gt;"","Stops (in order) "&amp;CHAR(10)&amp;$M337&amp;CHAR(10)&amp;CHAR(10),"")&amp;
IF($N337&lt;&gt;"","To-Do (hard requirements) "&amp;CHAR(10)&amp;$N337&amp;CHAR(10)&amp;CHAR(10),"")&amp;
IF($O337&lt;&gt;"","Suggested Timeline "&amp;CHAR(10)&amp;$O337&amp;CHAR(10)&amp;CHAR(10),"")&amp;
IF($P337&lt;&gt;"","Guardrails "&amp;CHAR(10)&amp;$P337&amp;CHAR(10)&amp;CHAR(10),"")&amp;
IF($Q337&lt;&gt;"","Completion signals "&amp;CHAR(10)&amp;$Q337,"")</f>
        <v/>
      </c>
      <c r="S337" s="25"/>
      <c r="T337" s="25"/>
      <c r="U337" s="8"/>
      <c r="V337" s="8" t="str">
        <f>_xlfn.SINGLE(IF($B337 = "", "", IF(_xlfn.SINGLE(_xlfn.TEXTJOIN(" | ", TRUE, IF($B337 = "", "Missing Title", ""), IF($C337 = "", "Missing Date", ""), IF($D337 = "", "Missing Start", ""), IF($E337 = "", "Missing End", ""), IF($G337 = "", "Missing Required Attendees", ""), IF($T337 = "", "Missing Status", ""), IF(AND($D337 &lt;&gt; "", $E337 &lt;&gt; "", $D337 &gt;= $E337), "Start&gt;=End", ""), IF(OR($R337 = "", LEN($R337) &lt; 60, ISNUMBER(MATCH(TRIM($R337), StatusList, 0))), "Body overwritten/short", ""))) = "", "OK", _xlfn.TEXTJOIN(" | ", TRUE, IF($B337 = "", "Missing Title", ""), IF($C337 = "", "Missing Date", ""), IF($D337 = "", "Missing Start", ""), IF($E337 = "", "Missing End", ""), IF($G337 = "", "Missing Required Attendees", ""), IF($T337 = "", "Missing Status", ""), IF(AND($D337 &lt;&gt; "", $E337 &lt;&gt; "", $D337 &gt;= $E337), "Start&gt;=End", ""), IF(OR($R337 = "", LEN($R337) &lt; 60, ISNUMBER(MATCH(TRIM($R337), StatusList, 0))), "Body overwritten/short", "")))))</f>
        <v/>
      </c>
    </row>
    <row r="338" spans="2:22" ht="12.75" customHeight="1">
      <c r="B338" s="25"/>
      <c r="C338" s="34"/>
      <c r="D338" s="38"/>
      <c r="E338" s="38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16" t="str">
        <f>IF($L338&lt;&gt;"","Purpose "&amp;CHAR(10)&amp;$L338&amp;CHAR(10)&amp;CHAR(10),"")&amp;
IF($M338&lt;&gt;"","Stops (in order) "&amp;CHAR(10)&amp;$M338&amp;CHAR(10)&amp;CHAR(10),"")&amp;
IF($N338&lt;&gt;"","To-Do (hard requirements) "&amp;CHAR(10)&amp;$N338&amp;CHAR(10)&amp;CHAR(10),"")&amp;
IF($O338&lt;&gt;"","Suggested Timeline "&amp;CHAR(10)&amp;$O338&amp;CHAR(10)&amp;CHAR(10),"")&amp;
IF($P338&lt;&gt;"","Guardrails "&amp;CHAR(10)&amp;$P338&amp;CHAR(10)&amp;CHAR(10),"")&amp;
IF($Q338&lt;&gt;"","Completion signals "&amp;CHAR(10)&amp;$Q338,"")</f>
        <v/>
      </c>
      <c r="S338" s="25"/>
      <c r="T338" s="25"/>
      <c r="U338" s="8"/>
      <c r="V338" s="8" t="str">
        <f>_xlfn.SINGLE(IF($B338 = "", "", IF(_xlfn.SINGLE(_xlfn.TEXTJOIN(" | ", TRUE, IF($B338 = "", "Missing Title", ""), IF($C338 = "", "Missing Date", ""), IF($D338 = "", "Missing Start", ""), IF($E338 = "", "Missing End", ""), IF($G338 = "", "Missing Required Attendees", ""), IF($T338 = "", "Missing Status", ""), IF(AND($D338 &lt;&gt; "", $E338 &lt;&gt; "", $D338 &gt;= $E338), "Start&gt;=End", ""), IF(OR($R338 = "", LEN($R338) &lt; 60, ISNUMBER(MATCH(TRIM($R338), StatusList, 0))), "Body overwritten/short", ""))) = "", "OK", _xlfn.TEXTJOIN(" | ", TRUE, IF($B338 = "", "Missing Title", ""), IF($C338 = "", "Missing Date", ""), IF($D338 = "", "Missing Start", ""), IF($E338 = "", "Missing End", ""), IF($G338 = "", "Missing Required Attendees", ""), IF($T338 = "", "Missing Status", ""), IF(AND($D338 &lt;&gt; "", $E338 &lt;&gt; "", $D338 &gt;= $E338), "Start&gt;=End", ""), IF(OR($R338 = "", LEN($R338) &lt; 60, ISNUMBER(MATCH(TRIM($R338), StatusList, 0))), "Body overwritten/short", "")))))</f>
        <v/>
      </c>
    </row>
    <row r="339" spans="2:22" ht="12.75" customHeight="1">
      <c r="B339" s="25"/>
      <c r="C339" s="34"/>
      <c r="D339" s="38"/>
      <c r="E339" s="38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16" t="str">
        <f>IF($L339&lt;&gt;"","Purpose "&amp;CHAR(10)&amp;$L339&amp;CHAR(10)&amp;CHAR(10),"")&amp;
IF($M339&lt;&gt;"","Stops (in order) "&amp;CHAR(10)&amp;$M339&amp;CHAR(10)&amp;CHAR(10),"")&amp;
IF($N339&lt;&gt;"","To-Do (hard requirements) "&amp;CHAR(10)&amp;$N339&amp;CHAR(10)&amp;CHAR(10),"")&amp;
IF($O339&lt;&gt;"","Suggested Timeline "&amp;CHAR(10)&amp;$O339&amp;CHAR(10)&amp;CHAR(10),"")&amp;
IF($P339&lt;&gt;"","Guardrails "&amp;CHAR(10)&amp;$P339&amp;CHAR(10)&amp;CHAR(10),"")&amp;
IF($Q339&lt;&gt;"","Completion signals "&amp;CHAR(10)&amp;$Q339,"")</f>
        <v/>
      </c>
      <c r="S339" s="25"/>
      <c r="T339" s="25"/>
      <c r="U339" s="8"/>
      <c r="V339" s="8" t="str">
        <f>_xlfn.SINGLE(IF($B339 = "", "", IF(_xlfn.SINGLE(_xlfn.TEXTJOIN(" | ", TRUE, IF($B339 = "", "Missing Title", ""), IF($C339 = "", "Missing Date", ""), IF($D339 = "", "Missing Start", ""), IF($E339 = "", "Missing End", ""), IF($G339 = "", "Missing Required Attendees", ""), IF($T339 = "", "Missing Status", ""), IF(AND($D339 &lt;&gt; "", $E339 &lt;&gt; "", $D339 &gt;= $E339), "Start&gt;=End", ""), IF(OR($R339 = "", LEN($R339) &lt; 60, ISNUMBER(MATCH(TRIM($R339), StatusList, 0))), "Body overwritten/short", ""))) = "", "OK", _xlfn.TEXTJOIN(" | ", TRUE, IF($B339 = "", "Missing Title", ""), IF($C339 = "", "Missing Date", ""), IF($D339 = "", "Missing Start", ""), IF($E339 = "", "Missing End", ""), IF($G339 = "", "Missing Required Attendees", ""), IF($T339 = "", "Missing Status", ""), IF(AND($D339 &lt;&gt; "", $E339 &lt;&gt; "", $D339 &gt;= $E339), "Start&gt;=End", ""), IF(OR($R339 = "", LEN($R339) &lt; 60, ISNUMBER(MATCH(TRIM($R339), StatusList, 0))), "Body overwritten/short", "")))))</f>
        <v/>
      </c>
    </row>
    <row r="340" spans="2:22" ht="12.75" customHeight="1">
      <c r="B340" s="25"/>
      <c r="C340" s="34"/>
      <c r="D340" s="38"/>
      <c r="E340" s="38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16" t="str">
        <f>IF($L340&lt;&gt;"","Purpose "&amp;CHAR(10)&amp;$L340&amp;CHAR(10)&amp;CHAR(10),"")&amp;
IF($M340&lt;&gt;"","Stops (in order) "&amp;CHAR(10)&amp;$M340&amp;CHAR(10)&amp;CHAR(10),"")&amp;
IF($N340&lt;&gt;"","To-Do (hard requirements) "&amp;CHAR(10)&amp;$N340&amp;CHAR(10)&amp;CHAR(10),"")&amp;
IF($O340&lt;&gt;"","Suggested Timeline "&amp;CHAR(10)&amp;$O340&amp;CHAR(10)&amp;CHAR(10),"")&amp;
IF($P340&lt;&gt;"","Guardrails "&amp;CHAR(10)&amp;$P340&amp;CHAR(10)&amp;CHAR(10),"")&amp;
IF($Q340&lt;&gt;"","Completion signals "&amp;CHAR(10)&amp;$Q340,"")</f>
        <v/>
      </c>
      <c r="S340" s="25"/>
      <c r="T340" s="25"/>
      <c r="U340" s="8"/>
      <c r="V340" s="8" t="str">
        <f>_xlfn.SINGLE(IF($B340 = "", "", IF(_xlfn.SINGLE(_xlfn.TEXTJOIN(" | ", TRUE, IF($B340 = "", "Missing Title", ""), IF($C340 = "", "Missing Date", ""), IF($D340 = "", "Missing Start", ""), IF($E340 = "", "Missing End", ""), IF($G340 = "", "Missing Required Attendees", ""), IF($T340 = "", "Missing Status", ""), IF(AND($D340 &lt;&gt; "", $E340 &lt;&gt; "", $D340 &gt;= $E340), "Start&gt;=End", ""), IF(OR($R340 = "", LEN($R340) &lt; 60, ISNUMBER(MATCH(TRIM($R340), StatusList, 0))), "Body overwritten/short", ""))) = "", "OK", _xlfn.TEXTJOIN(" | ", TRUE, IF($B340 = "", "Missing Title", ""), IF($C340 = "", "Missing Date", ""), IF($D340 = "", "Missing Start", ""), IF($E340 = "", "Missing End", ""), IF($G340 = "", "Missing Required Attendees", ""), IF($T340 = "", "Missing Status", ""), IF(AND($D340 &lt;&gt; "", $E340 &lt;&gt; "", $D340 &gt;= $E340), "Start&gt;=End", ""), IF(OR($R340 = "", LEN($R340) &lt; 60, ISNUMBER(MATCH(TRIM($R340), StatusList, 0))), "Body overwritten/short", "")))))</f>
        <v/>
      </c>
    </row>
    <row r="341" spans="2:22" ht="12.75" customHeight="1">
      <c r="B341" s="25"/>
      <c r="C341" s="34"/>
      <c r="D341" s="38"/>
      <c r="E341" s="38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16" t="str">
        <f>IF($L341&lt;&gt;"","Purpose "&amp;CHAR(10)&amp;$L341&amp;CHAR(10)&amp;CHAR(10),"")&amp;
IF($M341&lt;&gt;"","Stops (in order) "&amp;CHAR(10)&amp;$M341&amp;CHAR(10)&amp;CHAR(10),"")&amp;
IF($N341&lt;&gt;"","To-Do (hard requirements) "&amp;CHAR(10)&amp;$N341&amp;CHAR(10)&amp;CHAR(10),"")&amp;
IF($O341&lt;&gt;"","Suggested Timeline "&amp;CHAR(10)&amp;$O341&amp;CHAR(10)&amp;CHAR(10),"")&amp;
IF($P341&lt;&gt;"","Guardrails "&amp;CHAR(10)&amp;$P341&amp;CHAR(10)&amp;CHAR(10),"")&amp;
IF($Q341&lt;&gt;"","Completion signals "&amp;CHAR(10)&amp;$Q341,"")</f>
        <v/>
      </c>
      <c r="S341" s="25"/>
      <c r="T341" s="25"/>
      <c r="U341" s="8"/>
      <c r="V341" s="8" t="str">
        <f>_xlfn.SINGLE(IF($B341 = "", "", IF(_xlfn.SINGLE(_xlfn.TEXTJOIN(" | ", TRUE, IF($B341 = "", "Missing Title", ""), IF($C341 = "", "Missing Date", ""), IF($D341 = "", "Missing Start", ""), IF($E341 = "", "Missing End", ""), IF($G341 = "", "Missing Required Attendees", ""), IF($T341 = "", "Missing Status", ""), IF(AND($D341 &lt;&gt; "", $E341 &lt;&gt; "", $D341 &gt;= $E341), "Start&gt;=End", ""), IF(OR($R341 = "", LEN($R341) &lt; 60, ISNUMBER(MATCH(TRIM($R341), StatusList, 0))), "Body overwritten/short", ""))) = "", "OK", _xlfn.TEXTJOIN(" | ", TRUE, IF($B341 = "", "Missing Title", ""), IF($C341 = "", "Missing Date", ""), IF($D341 = "", "Missing Start", ""), IF($E341 = "", "Missing End", ""), IF($G341 = "", "Missing Required Attendees", ""), IF($T341 = "", "Missing Status", ""), IF(AND($D341 &lt;&gt; "", $E341 &lt;&gt; "", $D341 &gt;= $E341), "Start&gt;=End", ""), IF(OR($R341 = "", LEN($R341) &lt; 60, ISNUMBER(MATCH(TRIM($R341), StatusList, 0))), "Body overwritten/short", "")))))</f>
        <v/>
      </c>
    </row>
    <row r="342" spans="2:22" ht="12.75" customHeight="1">
      <c r="B342" s="25"/>
      <c r="C342" s="34"/>
      <c r="D342" s="38"/>
      <c r="E342" s="38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16" t="str">
        <f>IF($L342&lt;&gt;"","Purpose "&amp;CHAR(10)&amp;$L342&amp;CHAR(10)&amp;CHAR(10),"")&amp;
IF($M342&lt;&gt;"","Stops (in order) "&amp;CHAR(10)&amp;$M342&amp;CHAR(10)&amp;CHAR(10),"")&amp;
IF($N342&lt;&gt;"","To-Do (hard requirements) "&amp;CHAR(10)&amp;$N342&amp;CHAR(10)&amp;CHAR(10),"")&amp;
IF($O342&lt;&gt;"","Suggested Timeline "&amp;CHAR(10)&amp;$O342&amp;CHAR(10)&amp;CHAR(10),"")&amp;
IF($P342&lt;&gt;"","Guardrails "&amp;CHAR(10)&amp;$P342&amp;CHAR(10)&amp;CHAR(10),"")&amp;
IF($Q342&lt;&gt;"","Completion signals "&amp;CHAR(10)&amp;$Q342,"")</f>
        <v/>
      </c>
      <c r="S342" s="25"/>
      <c r="T342" s="25"/>
      <c r="U342" s="8"/>
      <c r="V342" s="8" t="str">
        <f>_xlfn.SINGLE(IF($B342 = "", "", IF(_xlfn.SINGLE(_xlfn.TEXTJOIN(" | ", TRUE, IF($B342 = "", "Missing Title", ""), IF($C342 = "", "Missing Date", ""), IF($D342 = "", "Missing Start", ""), IF($E342 = "", "Missing End", ""), IF($G342 = "", "Missing Required Attendees", ""), IF($T342 = "", "Missing Status", ""), IF(AND($D342 &lt;&gt; "", $E342 &lt;&gt; "", $D342 &gt;= $E342), "Start&gt;=End", ""), IF(OR($R342 = "", LEN($R342) &lt; 60, ISNUMBER(MATCH(TRIM($R342), StatusList, 0))), "Body overwritten/short", ""))) = "", "OK", _xlfn.TEXTJOIN(" | ", TRUE, IF($B342 = "", "Missing Title", ""), IF($C342 = "", "Missing Date", ""), IF($D342 = "", "Missing Start", ""), IF($E342 = "", "Missing End", ""), IF($G342 = "", "Missing Required Attendees", ""), IF($T342 = "", "Missing Status", ""), IF(AND($D342 &lt;&gt; "", $E342 &lt;&gt; "", $D342 &gt;= $E342), "Start&gt;=End", ""), IF(OR($R342 = "", LEN($R342) &lt; 60, ISNUMBER(MATCH(TRIM($R342), StatusList, 0))), "Body overwritten/short", "")))))</f>
        <v/>
      </c>
    </row>
    <row r="343" spans="2:22" ht="12.75" customHeight="1">
      <c r="B343" s="25"/>
      <c r="C343" s="34"/>
      <c r="D343" s="38"/>
      <c r="E343" s="38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16" t="str">
        <f>IF($L343&lt;&gt;"","Purpose "&amp;CHAR(10)&amp;$L343&amp;CHAR(10)&amp;CHAR(10),"")&amp;
IF($M343&lt;&gt;"","Stops (in order) "&amp;CHAR(10)&amp;$M343&amp;CHAR(10)&amp;CHAR(10),"")&amp;
IF($N343&lt;&gt;"","To-Do (hard requirements) "&amp;CHAR(10)&amp;$N343&amp;CHAR(10)&amp;CHAR(10),"")&amp;
IF($O343&lt;&gt;"","Suggested Timeline "&amp;CHAR(10)&amp;$O343&amp;CHAR(10)&amp;CHAR(10),"")&amp;
IF($P343&lt;&gt;"","Guardrails "&amp;CHAR(10)&amp;$P343&amp;CHAR(10)&amp;CHAR(10),"")&amp;
IF($Q343&lt;&gt;"","Completion signals "&amp;CHAR(10)&amp;$Q343,"")</f>
        <v/>
      </c>
      <c r="S343" s="25"/>
      <c r="T343" s="25"/>
      <c r="U343" s="8"/>
      <c r="V343" s="8" t="str">
        <f>_xlfn.SINGLE(IF($B343 = "", "", IF(_xlfn.SINGLE(_xlfn.TEXTJOIN(" | ", TRUE, IF($B343 = "", "Missing Title", ""), IF($C343 = "", "Missing Date", ""), IF($D343 = "", "Missing Start", ""), IF($E343 = "", "Missing End", ""), IF($G343 = "", "Missing Required Attendees", ""), IF($T343 = "", "Missing Status", ""), IF(AND($D343 &lt;&gt; "", $E343 &lt;&gt; "", $D343 &gt;= $E343), "Start&gt;=End", ""), IF(OR($R343 = "", LEN($R343) &lt; 60, ISNUMBER(MATCH(TRIM($R343), StatusList, 0))), "Body overwritten/short", ""))) = "", "OK", _xlfn.TEXTJOIN(" | ", TRUE, IF($B343 = "", "Missing Title", ""), IF($C343 = "", "Missing Date", ""), IF($D343 = "", "Missing Start", ""), IF($E343 = "", "Missing End", ""), IF($G343 = "", "Missing Required Attendees", ""), IF($T343 = "", "Missing Status", ""), IF(AND($D343 &lt;&gt; "", $E343 &lt;&gt; "", $D343 &gt;= $E343), "Start&gt;=End", ""), IF(OR($R343 = "", LEN($R343) &lt; 60, ISNUMBER(MATCH(TRIM($R343), StatusList, 0))), "Body overwritten/short", "")))))</f>
        <v/>
      </c>
    </row>
    <row r="344" spans="2:22" ht="12.75" customHeight="1">
      <c r="B344" s="25"/>
      <c r="C344" s="34"/>
      <c r="D344" s="38"/>
      <c r="E344" s="38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16" t="str">
        <f>IF($L344&lt;&gt;"","Purpose "&amp;CHAR(10)&amp;$L344&amp;CHAR(10)&amp;CHAR(10),"")&amp;
IF($M344&lt;&gt;"","Stops (in order) "&amp;CHAR(10)&amp;$M344&amp;CHAR(10)&amp;CHAR(10),"")&amp;
IF($N344&lt;&gt;"","To-Do (hard requirements) "&amp;CHAR(10)&amp;$N344&amp;CHAR(10)&amp;CHAR(10),"")&amp;
IF($O344&lt;&gt;"","Suggested Timeline "&amp;CHAR(10)&amp;$O344&amp;CHAR(10)&amp;CHAR(10),"")&amp;
IF($P344&lt;&gt;"","Guardrails "&amp;CHAR(10)&amp;$P344&amp;CHAR(10)&amp;CHAR(10),"")&amp;
IF($Q344&lt;&gt;"","Completion signals "&amp;CHAR(10)&amp;$Q344,"")</f>
        <v/>
      </c>
      <c r="S344" s="25"/>
      <c r="T344" s="25"/>
      <c r="U344" s="8"/>
      <c r="V344" s="8" t="str">
        <f>_xlfn.SINGLE(IF($B344 = "", "", IF(_xlfn.SINGLE(_xlfn.TEXTJOIN(" | ", TRUE, IF($B344 = "", "Missing Title", ""), IF($C344 = "", "Missing Date", ""), IF($D344 = "", "Missing Start", ""), IF($E344 = "", "Missing End", ""), IF($G344 = "", "Missing Required Attendees", ""), IF($T344 = "", "Missing Status", ""), IF(AND($D344 &lt;&gt; "", $E344 &lt;&gt; "", $D344 &gt;= $E344), "Start&gt;=End", ""), IF(OR($R344 = "", LEN($R344) &lt; 60, ISNUMBER(MATCH(TRIM($R344), StatusList, 0))), "Body overwritten/short", ""))) = "", "OK", _xlfn.TEXTJOIN(" | ", TRUE, IF($B344 = "", "Missing Title", ""), IF($C344 = "", "Missing Date", ""), IF($D344 = "", "Missing Start", ""), IF($E344 = "", "Missing End", ""), IF($G344 = "", "Missing Required Attendees", ""), IF($T344 = "", "Missing Status", ""), IF(AND($D344 &lt;&gt; "", $E344 &lt;&gt; "", $D344 &gt;= $E344), "Start&gt;=End", ""), IF(OR($R344 = "", LEN($R344) &lt; 60, ISNUMBER(MATCH(TRIM($R344), StatusList, 0))), "Body overwritten/short", "")))))</f>
        <v/>
      </c>
    </row>
    <row r="345" spans="2:22" ht="12.75" customHeight="1">
      <c r="B345" s="25"/>
      <c r="C345" s="34"/>
      <c r="D345" s="38"/>
      <c r="E345" s="38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16" t="str">
        <f>IF($L345&lt;&gt;"","Purpose "&amp;CHAR(10)&amp;$L345&amp;CHAR(10)&amp;CHAR(10),"")&amp;
IF($M345&lt;&gt;"","Stops (in order) "&amp;CHAR(10)&amp;$M345&amp;CHAR(10)&amp;CHAR(10),"")&amp;
IF($N345&lt;&gt;"","To-Do (hard requirements) "&amp;CHAR(10)&amp;$N345&amp;CHAR(10)&amp;CHAR(10),"")&amp;
IF($O345&lt;&gt;"","Suggested Timeline "&amp;CHAR(10)&amp;$O345&amp;CHAR(10)&amp;CHAR(10),"")&amp;
IF($P345&lt;&gt;"","Guardrails "&amp;CHAR(10)&amp;$P345&amp;CHAR(10)&amp;CHAR(10),"")&amp;
IF($Q345&lt;&gt;"","Completion signals "&amp;CHAR(10)&amp;$Q345,"")</f>
        <v/>
      </c>
      <c r="S345" s="25"/>
      <c r="T345" s="25"/>
      <c r="U345" s="8"/>
      <c r="V345" s="8" t="str">
        <f>_xlfn.SINGLE(IF($B345 = "", "", IF(_xlfn.SINGLE(_xlfn.TEXTJOIN(" | ", TRUE, IF($B345 = "", "Missing Title", ""), IF($C345 = "", "Missing Date", ""), IF($D345 = "", "Missing Start", ""), IF($E345 = "", "Missing End", ""), IF($G345 = "", "Missing Required Attendees", ""), IF($T345 = "", "Missing Status", ""), IF(AND($D345 &lt;&gt; "", $E345 &lt;&gt; "", $D345 &gt;= $E345), "Start&gt;=End", ""), IF(OR($R345 = "", LEN($R345) &lt; 60, ISNUMBER(MATCH(TRIM($R345), StatusList, 0))), "Body overwritten/short", ""))) = "", "OK", _xlfn.TEXTJOIN(" | ", TRUE, IF($B345 = "", "Missing Title", ""), IF($C345 = "", "Missing Date", ""), IF($D345 = "", "Missing Start", ""), IF($E345 = "", "Missing End", ""), IF($G345 = "", "Missing Required Attendees", ""), IF($T345 = "", "Missing Status", ""), IF(AND($D345 &lt;&gt; "", $E345 &lt;&gt; "", $D345 &gt;= $E345), "Start&gt;=End", ""), IF(OR($R345 = "", LEN($R345) &lt; 60, ISNUMBER(MATCH(TRIM($R345), StatusList, 0))), "Body overwritten/short", "")))))</f>
        <v/>
      </c>
    </row>
    <row r="346" spans="2:22" ht="12.75" customHeight="1">
      <c r="B346" s="25"/>
      <c r="C346" s="34"/>
      <c r="D346" s="38"/>
      <c r="E346" s="38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16" t="str">
        <f>IF($L346&lt;&gt;"","Purpose "&amp;CHAR(10)&amp;$L346&amp;CHAR(10)&amp;CHAR(10),"")&amp;
IF($M346&lt;&gt;"","Stops (in order) "&amp;CHAR(10)&amp;$M346&amp;CHAR(10)&amp;CHAR(10),"")&amp;
IF($N346&lt;&gt;"","To-Do (hard requirements) "&amp;CHAR(10)&amp;$N346&amp;CHAR(10)&amp;CHAR(10),"")&amp;
IF($O346&lt;&gt;"","Suggested Timeline "&amp;CHAR(10)&amp;$O346&amp;CHAR(10)&amp;CHAR(10),"")&amp;
IF($P346&lt;&gt;"","Guardrails "&amp;CHAR(10)&amp;$P346&amp;CHAR(10)&amp;CHAR(10),"")&amp;
IF($Q346&lt;&gt;"","Completion signals "&amp;CHAR(10)&amp;$Q346,"")</f>
        <v/>
      </c>
      <c r="S346" s="25"/>
      <c r="T346" s="25"/>
      <c r="U346" s="8"/>
      <c r="V346" s="8" t="str">
        <f>_xlfn.SINGLE(IF($B346 = "", "", IF(_xlfn.SINGLE(_xlfn.TEXTJOIN(" | ", TRUE, IF($B346 = "", "Missing Title", ""), IF($C346 = "", "Missing Date", ""), IF($D346 = "", "Missing Start", ""), IF($E346 = "", "Missing End", ""), IF($G346 = "", "Missing Required Attendees", ""), IF($T346 = "", "Missing Status", ""), IF(AND($D346 &lt;&gt; "", $E346 &lt;&gt; "", $D346 &gt;= $E346), "Start&gt;=End", ""), IF(OR($R346 = "", LEN($R346) &lt; 60, ISNUMBER(MATCH(TRIM($R346), StatusList, 0))), "Body overwritten/short", ""))) = "", "OK", _xlfn.TEXTJOIN(" | ", TRUE, IF($B346 = "", "Missing Title", ""), IF($C346 = "", "Missing Date", ""), IF($D346 = "", "Missing Start", ""), IF($E346 = "", "Missing End", ""), IF($G346 = "", "Missing Required Attendees", ""), IF($T346 = "", "Missing Status", ""), IF(AND($D346 &lt;&gt; "", $E346 &lt;&gt; "", $D346 &gt;= $E346), "Start&gt;=End", ""), IF(OR($R346 = "", LEN($R346) &lt; 60, ISNUMBER(MATCH(TRIM($R346), StatusList, 0))), "Body overwritten/short", "")))))</f>
        <v/>
      </c>
    </row>
    <row r="347" spans="2:22" ht="12.75" customHeight="1">
      <c r="B347" s="25"/>
      <c r="C347" s="34"/>
      <c r="D347" s="38"/>
      <c r="E347" s="38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16" t="str">
        <f>IF($L347&lt;&gt;"","Purpose "&amp;CHAR(10)&amp;$L347&amp;CHAR(10)&amp;CHAR(10),"")&amp;
IF($M347&lt;&gt;"","Stops (in order) "&amp;CHAR(10)&amp;$M347&amp;CHAR(10)&amp;CHAR(10),"")&amp;
IF($N347&lt;&gt;"","To-Do (hard requirements) "&amp;CHAR(10)&amp;$N347&amp;CHAR(10)&amp;CHAR(10),"")&amp;
IF($O347&lt;&gt;"","Suggested Timeline "&amp;CHAR(10)&amp;$O347&amp;CHAR(10)&amp;CHAR(10),"")&amp;
IF($P347&lt;&gt;"","Guardrails "&amp;CHAR(10)&amp;$P347&amp;CHAR(10)&amp;CHAR(10),"")&amp;
IF($Q347&lt;&gt;"","Completion signals "&amp;CHAR(10)&amp;$Q347,"")</f>
        <v/>
      </c>
      <c r="S347" s="25"/>
      <c r="T347" s="25"/>
      <c r="U347" s="8"/>
      <c r="V347" s="8" t="str">
        <f>_xlfn.SINGLE(IF($B347 = "", "", IF(_xlfn.SINGLE(_xlfn.TEXTJOIN(" | ", TRUE, IF($B347 = "", "Missing Title", ""), IF($C347 = "", "Missing Date", ""), IF($D347 = "", "Missing Start", ""), IF($E347 = "", "Missing End", ""), IF($G347 = "", "Missing Required Attendees", ""), IF($T347 = "", "Missing Status", ""), IF(AND($D347 &lt;&gt; "", $E347 &lt;&gt; "", $D347 &gt;= $E347), "Start&gt;=End", ""), IF(OR($R347 = "", LEN($R347) &lt; 60, ISNUMBER(MATCH(TRIM($R347), StatusList, 0))), "Body overwritten/short", ""))) = "", "OK", _xlfn.TEXTJOIN(" | ", TRUE, IF($B347 = "", "Missing Title", ""), IF($C347 = "", "Missing Date", ""), IF($D347 = "", "Missing Start", ""), IF($E347 = "", "Missing End", ""), IF($G347 = "", "Missing Required Attendees", ""), IF($T347 = "", "Missing Status", ""), IF(AND($D347 &lt;&gt; "", $E347 &lt;&gt; "", $D347 &gt;= $E347), "Start&gt;=End", ""), IF(OR($R347 = "", LEN($R347) &lt; 60, ISNUMBER(MATCH(TRIM($R347), StatusList, 0))), "Body overwritten/short", "")))))</f>
        <v/>
      </c>
    </row>
    <row r="348" spans="2:22" ht="12.75" customHeight="1">
      <c r="B348" s="25"/>
      <c r="C348" s="34"/>
      <c r="D348" s="38"/>
      <c r="E348" s="38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16" t="str">
        <f>IF($L348&lt;&gt;"","Purpose "&amp;CHAR(10)&amp;$L348&amp;CHAR(10)&amp;CHAR(10),"")&amp;
IF($M348&lt;&gt;"","Stops (in order) "&amp;CHAR(10)&amp;$M348&amp;CHAR(10)&amp;CHAR(10),"")&amp;
IF($N348&lt;&gt;"","To-Do (hard requirements) "&amp;CHAR(10)&amp;$N348&amp;CHAR(10)&amp;CHAR(10),"")&amp;
IF($O348&lt;&gt;"","Suggested Timeline "&amp;CHAR(10)&amp;$O348&amp;CHAR(10)&amp;CHAR(10),"")&amp;
IF($P348&lt;&gt;"","Guardrails "&amp;CHAR(10)&amp;$P348&amp;CHAR(10)&amp;CHAR(10),"")&amp;
IF($Q348&lt;&gt;"","Completion signals "&amp;CHAR(10)&amp;$Q348,"")</f>
        <v/>
      </c>
      <c r="S348" s="25"/>
      <c r="T348" s="25"/>
      <c r="U348" s="8"/>
      <c r="V348" s="8" t="str">
        <f>_xlfn.SINGLE(IF($B348 = "", "", IF(_xlfn.SINGLE(_xlfn.TEXTJOIN(" | ", TRUE, IF($B348 = "", "Missing Title", ""), IF($C348 = "", "Missing Date", ""), IF($D348 = "", "Missing Start", ""), IF($E348 = "", "Missing End", ""), IF($G348 = "", "Missing Required Attendees", ""), IF($T348 = "", "Missing Status", ""), IF(AND($D348 &lt;&gt; "", $E348 &lt;&gt; "", $D348 &gt;= $E348), "Start&gt;=End", ""), IF(OR($R348 = "", LEN($R348) &lt; 60, ISNUMBER(MATCH(TRIM($R348), StatusList, 0))), "Body overwritten/short", ""))) = "", "OK", _xlfn.TEXTJOIN(" | ", TRUE, IF($B348 = "", "Missing Title", ""), IF($C348 = "", "Missing Date", ""), IF($D348 = "", "Missing Start", ""), IF($E348 = "", "Missing End", ""), IF($G348 = "", "Missing Required Attendees", ""), IF($T348 = "", "Missing Status", ""), IF(AND($D348 &lt;&gt; "", $E348 &lt;&gt; "", $D348 &gt;= $E348), "Start&gt;=End", ""), IF(OR($R348 = "", LEN($R348) &lt; 60, ISNUMBER(MATCH(TRIM($R348), StatusList, 0))), "Body overwritten/short", "")))))</f>
        <v/>
      </c>
    </row>
    <row r="349" spans="2:22" ht="12.75" customHeight="1">
      <c r="B349" s="25"/>
      <c r="C349" s="34"/>
      <c r="D349" s="38"/>
      <c r="E349" s="38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16" t="str">
        <f>IF($L349&lt;&gt;"","Purpose "&amp;CHAR(10)&amp;$L349&amp;CHAR(10)&amp;CHAR(10),"")&amp;
IF($M349&lt;&gt;"","Stops (in order) "&amp;CHAR(10)&amp;$M349&amp;CHAR(10)&amp;CHAR(10),"")&amp;
IF($N349&lt;&gt;"","To-Do (hard requirements) "&amp;CHAR(10)&amp;$N349&amp;CHAR(10)&amp;CHAR(10),"")&amp;
IF($O349&lt;&gt;"","Suggested Timeline "&amp;CHAR(10)&amp;$O349&amp;CHAR(10)&amp;CHAR(10),"")&amp;
IF($P349&lt;&gt;"","Guardrails "&amp;CHAR(10)&amp;$P349&amp;CHAR(10)&amp;CHAR(10),"")&amp;
IF($Q349&lt;&gt;"","Completion signals "&amp;CHAR(10)&amp;$Q349,"")</f>
        <v/>
      </c>
      <c r="S349" s="25"/>
      <c r="T349" s="25"/>
      <c r="U349" s="8"/>
      <c r="V349" s="8" t="str">
        <f>_xlfn.SINGLE(IF($B349 = "", "", IF(_xlfn.SINGLE(_xlfn.TEXTJOIN(" | ", TRUE, IF($B349 = "", "Missing Title", ""), IF($C349 = "", "Missing Date", ""), IF($D349 = "", "Missing Start", ""), IF($E349 = "", "Missing End", ""), IF($G349 = "", "Missing Required Attendees", ""), IF($T349 = "", "Missing Status", ""), IF(AND($D349 &lt;&gt; "", $E349 &lt;&gt; "", $D349 &gt;= $E349), "Start&gt;=End", ""), IF(OR($R349 = "", LEN($R349) &lt; 60, ISNUMBER(MATCH(TRIM($R349), StatusList, 0))), "Body overwritten/short", ""))) = "", "OK", _xlfn.TEXTJOIN(" | ", TRUE, IF($B349 = "", "Missing Title", ""), IF($C349 = "", "Missing Date", ""), IF($D349 = "", "Missing Start", ""), IF($E349 = "", "Missing End", ""), IF($G349 = "", "Missing Required Attendees", ""), IF($T349 = "", "Missing Status", ""), IF(AND($D349 &lt;&gt; "", $E349 &lt;&gt; "", $D349 &gt;= $E349), "Start&gt;=End", ""), IF(OR($R349 = "", LEN($R349) &lt; 60, ISNUMBER(MATCH(TRIM($R349), StatusList, 0))), "Body overwritten/short", "")))))</f>
        <v/>
      </c>
    </row>
    <row r="350" spans="2:22" ht="12.75" customHeight="1">
      <c r="B350" s="25"/>
      <c r="C350" s="34"/>
      <c r="D350" s="38"/>
      <c r="E350" s="38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16" t="str">
        <f>IF($L350&lt;&gt;"","Purpose "&amp;CHAR(10)&amp;$L350&amp;CHAR(10)&amp;CHAR(10),"")&amp;
IF($M350&lt;&gt;"","Stops (in order) "&amp;CHAR(10)&amp;$M350&amp;CHAR(10)&amp;CHAR(10),"")&amp;
IF($N350&lt;&gt;"","To-Do (hard requirements) "&amp;CHAR(10)&amp;$N350&amp;CHAR(10)&amp;CHAR(10),"")&amp;
IF($O350&lt;&gt;"","Suggested Timeline "&amp;CHAR(10)&amp;$O350&amp;CHAR(10)&amp;CHAR(10),"")&amp;
IF($P350&lt;&gt;"","Guardrails "&amp;CHAR(10)&amp;$P350&amp;CHAR(10)&amp;CHAR(10),"")&amp;
IF($Q350&lt;&gt;"","Completion signals "&amp;CHAR(10)&amp;$Q350,"")</f>
        <v/>
      </c>
      <c r="S350" s="25"/>
      <c r="T350" s="25"/>
      <c r="U350" s="8"/>
      <c r="V350" s="8" t="str">
        <f>_xlfn.SINGLE(IF($B350 = "", "", IF(_xlfn.SINGLE(_xlfn.TEXTJOIN(" | ", TRUE, IF($B350 = "", "Missing Title", ""), IF($C350 = "", "Missing Date", ""), IF($D350 = "", "Missing Start", ""), IF($E350 = "", "Missing End", ""), IF($G350 = "", "Missing Required Attendees", ""), IF($T350 = "", "Missing Status", ""), IF(AND($D350 &lt;&gt; "", $E350 &lt;&gt; "", $D350 &gt;= $E350), "Start&gt;=End", ""), IF(OR($R350 = "", LEN($R350) &lt; 60, ISNUMBER(MATCH(TRIM($R350), StatusList, 0))), "Body overwritten/short", ""))) = "", "OK", _xlfn.TEXTJOIN(" | ", TRUE, IF($B350 = "", "Missing Title", ""), IF($C350 = "", "Missing Date", ""), IF($D350 = "", "Missing Start", ""), IF($E350 = "", "Missing End", ""), IF($G350 = "", "Missing Required Attendees", ""), IF($T350 = "", "Missing Status", ""), IF(AND($D350 &lt;&gt; "", $E350 &lt;&gt; "", $D350 &gt;= $E350), "Start&gt;=End", ""), IF(OR($R350 = "", LEN($R350) &lt; 60, ISNUMBER(MATCH(TRIM($R350), StatusList, 0))), "Body overwritten/short", "")))))</f>
        <v/>
      </c>
    </row>
    <row r="351" spans="2:22" ht="12.75" customHeight="1">
      <c r="B351" s="25"/>
      <c r="C351" s="34"/>
      <c r="D351" s="38"/>
      <c r="E351" s="38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16" t="str">
        <f>IF($L351&lt;&gt;"","Purpose "&amp;CHAR(10)&amp;$L351&amp;CHAR(10)&amp;CHAR(10),"")&amp;
IF($M351&lt;&gt;"","Stops (in order) "&amp;CHAR(10)&amp;$M351&amp;CHAR(10)&amp;CHAR(10),"")&amp;
IF($N351&lt;&gt;"","To-Do (hard requirements) "&amp;CHAR(10)&amp;$N351&amp;CHAR(10)&amp;CHAR(10),"")&amp;
IF($O351&lt;&gt;"","Suggested Timeline "&amp;CHAR(10)&amp;$O351&amp;CHAR(10)&amp;CHAR(10),"")&amp;
IF($P351&lt;&gt;"","Guardrails "&amp;CHAR(10)&amp;$P351&amp;CHAR(10)&amp;CHAR(10),"")&amp;
IF($Q351&lt;&gt;"","Completion signals "&amp;CHAR(10)&amp;$Q351,"")</f>
        <v/>
      </c>
      <c r="S351" s="25"/>
      <c r="T351" s="25"/>
      <c r="U351" s="8"/>
      <c r="V351" s="8" t="str">
        <f>_xlfn.SINGLE(IF($B351 = "", "", IF(_xlfn.SINGLE(_xlfn.TEXTJOIN(" | ", TRUE, IF($B351 = "", "Missing Title", ""), IF($C351 = "", "Missing Date", ""), IF($D351 = "", "Missing Start", ""), IF($E351 = "", "Missing End", ""), IF($G351 = "", "Missing Required Attendees", ""), IF($T351 = "", "Missing Status", ""), IF(AND($D351 &lt;&gt; "", $E351 &lt;&gt; "", $D351 &gt;= $E351), "Start&gt;=End", ""), IF(OR($R351 = "", LEN($R351) &lt; 60, ISNUMBER(MATCH(TRIM($R351), StatusList, 0))), "Body overwritten/short", ""))) = "", "OK", _xlfn.TEXTJOIN(" | ", TRUE, IF($B351 = "", "Missing Title", ""), IF($C351 = "", "Missing Date", ""), IF($D351 = "", "Missing Start", ""), IF($E351 = "", "Missing End", ""), IF($G351 = "", "Missing Required Attendees", ""), IF($T351 = "", "Missing Status", ""), IF(AND($D351 &lt;&gt; "", $E351 &lt;&gt; "", $D351 &gt;= $E351), "Start&gt;=End", ""), IF(OR($R351 = "", LEN($R351) &lt; 60, ISNUMBER(MATCH(TRIM($R351), StatusList, 0))), "Body overwritten/short", "")))))</f>
        <v/>
      </c>
    </row>
    <row r="352" spans="2:22" ht="12.75" customHeight="1">
      <c r="B352" s="25"/>
      <c r="C352" s="34"/>
      <c r="D352" s="38"/>
      <c r="E352" s="38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16" t="str">
        <f>IF($L352&lt;&gt;"","Purpose "&amp;CHAR(10)&amp;$L352&amp;CHAR(10)&amp;CHAR(10),"")&amp;
IF($M352&lt;&gt;"","Stops (in order) "&amp;CHAR(10)&amp;$M352&amp;CHAR(10)&amp;CHAR(10),"")&amp;
IF($N352&lt;&gt;"","To-Do (hard requirements) "&amp;CHAR(10)&amp;$N352&amp;CHAR(10)&amp;CHAR(10),"")&amp;
IF($O352&lt;&gt;"","Suggested Timeline "&amp;CHAR(10)&amp;$O352&amp;CHAR(10)&amp;CHAR(10),"")&amp;
IF($P352&lt;&gt;"","Guardrails "&amp;CHAR(10)&amp;$P352&amp;CHAR(10)&amp;CHAR(10),"")&amp;
IF($Q352&lt;&gt;"","Completion signals "&amp;CHAR(10)&amp;$Q352,"")</f>
        <v/>
      </c>
      <c r="S352" s="25"/>
      <c r="T352" s="25"/>
      <c r="U352" s="8"/>
      <c r="V352" s="8" t="str">
        <f>_xlfn.SINGLE(IF($B352 = "", "", IF(_xlfn.SINGLE(_xlfn.TEXTJOIN(" | ", TRUE, IF($B352 = "", "Missing Title", ""), IF($C352 = "", "Missing Date", ""), IF($D352 = "", "Missing Start", ""), IF($E352 = "", "Missing End", ""), IF($G352 = "", "Missing Required Attendees", ""), IF($T352 = "", "Missing Status", ""), IF(AND($D352 &lt;&gt; "", $E352 &lt;&gt; "", $D352 &gt;= $E352), "Start&gt;=End", ""), IF(OR($R352 = "", LEN($R352) &lt; 60, ISNUMBER(MATCH(TRIM($R352), StatusList, 0))), "Body overwritten/short", ""))) = "", "OK", _xlfn.TEXTJOIN(" | ", TRUE, IF($B352 = "", "Missing Title", ""), IF($C352 = "", "Missing Date", ""), IF($D352 = "", "Missing Start", ""), IF($E352 = "", "Missing End", ""), IF($G352 = "", "Missing Required Attendees", ""), IF($T352 = "", "Missing Status", ""), IF(AND($D352 &lt;&gt; "", $E352 &lt;&gt; "", $D352 &gt;= $E352), "Start&gt;=End", ""), IF(OR($R352 = "", LEN($R352) &lt; 60, ISNUMBER(MATCH(TRIM($R352), StatusList, 0))), "Body overwritten/short", "")))))</f>
        <v/>
      </c>
    </row>
    <row r="353" spans="2:22" ht="12.75" customHeight="1">
      <c r="B353" s="25"/>
      <c r="C353" s="34"/>
      <c r="D353" s="38"/>
      <c r="E353" s="38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16" t="str">
        <f>IF($L353&lt;&gt;"","Purpose "&amp;CHAR(10)&amp;$L353&amp;CHAR(10)&amp;CHAR(10),"")&amp;
IF($M353&lt;&gt;"","Stops (in order) "&amp;CHAR(10)&amp;$M353&amp;CHAR(10)&amp;CHAR(10),"")&amp;
IF($N353&lt;&gt;"","To-Do (hard requirements) "&amp;CHAR(10)&amp;$N353&amp;CHAR(10)&amp;CHAR(10),"")&amp;
IF($O353&lt;&gt;"","Suggested Timeline "&amp;CHAR(10)&amp;$O353&amp;CHAR(10)&amp;CHAR(10),"")&amp;
IF($P353&lt;&gt;"","Guardrails "&amp;CHAR(10)&amp;$P353&amp;CHAR(10)&amp;CHAR(10),"")&amp;
IF($Q353&lt;&gt;"","Completion signals "&amp;CHAR(10)&amp;$Q353,"")</f>
        <v/>
      </c>
      <c r="S353" s="25"/>
      <c r="T353" s="25"/>
      <c r="U353" s="8"/>
      <c r="V353" s="8" t="str">
        <f>_xlfn.SINGLE(IF($B353 = "", "", IF(_xlfn.SINGLE(_xlfn.TEXTJOIN(" | ", TRUE, IF($B353 = "", "Missing Title", ""), IF($C353 = "", "Missing Date", ""), IF($D353 = "", "Missing Start", ""), IF($E353 = "", "Missing End", ""), IF($G353 = "", "Missing Required Attendees", ""), IF($T353 = "", "Missing Status", ""), IF(AND($D353 &lt;&gt; "", $E353 &lt;&gt; "", $D353 &gt;= $E353), "Start&gt;=End", ""), IF(OR($R353 = "", LEN($R353) &lt; 60, ISNUMBER(MATCH(TRIM($R353), StatusList, 0))), "Body overwritten/short", ""))) = "", "OK", _xlfn.TEXTJOIN(" | ", TRUE, IF($B353 = "", "Missing Title", ""), IF($C353 = "", "Missing Date", ""), IF($D353 = "", "Missing Start", ""), IF($E353 = "", "Missing End", ""), IF($G353 = "", "Missing Required Attendees", ""), IF($T353 = "", "Missing Status", ""), IF(AND($D353 &lt;&gt; "", $E353 &lt;&gt; "", $D353 &gt;= $E353), "Start&gt;=End", ""), IF(OR($R353 = "", LEN($R353) &lt; 60, ISNUMBER(MATCH(TRIM($R353), StatusList, 0))), "Body overwritten/short", "")))))</f>
        <v/>
      </c>
    </row>
    <row r="354" spans="2:22" ht="12.75" customHeight="1">
      <c r="B354" s="25"/>
      <c r="C354" s="34"/>
      <c r="D354" s="38"/>
      <c r="E354" s="38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16" t="str">
        <f>IF($L354&lt;&gt;"","Purpose "&amp;CHAR(10)&amp;$L354&amp;CHAR(10)&amp;CHAR(10),"")&amp;
IF($M354&lt;&gt;"","Stops (in order) "&amp;CHAR(10)&amp;$M354&amp;CHAR(10)&amp;CHAR(10),"")&amp;
IF($N354&lt;&gt;"","To-Do (hard requirements) "&amp;CHAR(10)&amp;$N354&amp;CHAR(10)&amp;CHAR(10),"")&amp;
IF($O354&lt;&gt;"","Suggested Timeline "&amp;CHAR(10)&amp;$O354&amp;CHAR(10)&amp;CHAR(10),"")&amp;
IF($P354&lt;&gt;"","Guardrails "&amp;CHAR(10)&amp;$P354&amp;CHAR(10)&amp;CHAR(10),"")&amp;
IF($Q354&lt;&gt;"","Completion signals "&amp;CHAR(10)&amp;$Q354,"")</f>
        <v/>
      </c>
      <c r="S354" s="25"/>
      <c r="T354" s="25"/>
      <c r="U354" s="8"/>
      <c r="V354" s="8" t="str">
        <f>_xlfn.SINGLE(IF($B354 = "", "", IF(_xlfn.SINGLE(_xlfn.TEXTJOIN(" | ", TRUE, IF($B354 = "", "Missing Title", ""), IF($C354 = "", "Missing Date", ""), IF($D354 = "", "Missing Start", ""), IF($E354 = "", "Missing End", ""), IF($G354 = "", "Missing Required Attendees", ""), IF($T354 = "", "Missing Status", ""), IF(AND($D354 &lt;&gt; "", $E354 &lt;&gt; "", $D354 &gt;= $E354), "Start&gt;=End", ""), IF(OR($R354 = "", LEN($R354) &lt; 60, ISNUMBER(MATCH(TRIM($R354), StatusList, 0))), "Body overwritten/short", ""))) = "", "OK", _xlfn.TEXTJOIN(" | ", TRUE, IF($B354 = "", "Missing Title", ""), IF($C354 = "", "Missing Date", ""), IF($D354 = "", "Missing Start", ""), IF($E354 = "", "Missing End", ""), IF($G354 = "", "Missing Required Attendees", ""), IF($T354 = "", "Missing Status", ""), IF(AND($D354 &lt;&gt; "", $E354 &lt;&gt; "", $D354 &gt;= $E354), "Start&gt;=End", ""), IF(OR($R354 = "", LEN($R354) &lt; 60, ISNUMBER(MATCH(TRIM($R354), StatusList, 0))), "Body overwritten/short", "")))))</f>
        <v/>
      </c>
    </row>
    <row r="355" spans="2:22" ht="12.75" customHeight="1">
      <c r="B355" s="25"/>
      <c r="C355" s="34"/>
      <c r="D355" s="38"/>
      <c r="E355" s="38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16" t="str">
        <f>IF($L355&lt;&gt;"","Purpose "&amp;CHAR(10)&amp;$L355&amp;CHAR(10)&amp;CHAR(10),"")&amp;
IF($M355&lt;&gt;"","Stops (in order) "&amp;CHAR(10)&amp;$M355&amp;CHAR(10)&amp;CHAR(10),"")&amp;
IF($N355&lt;&gt;"","To-Do (hard requirements) "&amp;CHAR(10)&amp;$N355&amp;CHAR(10)&amp;CHAR(10),"")&amp;
IF($O355&lt;&gt;"","Suggested Timeline "&amp;CHAR(10)&amp;$O355&amp;CHAR(10)&amp;CHAR(10),"")&amp;
IF($P355&lt;&gt;"","Guardrails "&amp;CHAR(10)&amp;$P355&amp;CHAR(10)&amp;CHAR(10),"")&amp;
IF($Q355&lt;&gt;"","Completion signals "&amp;CHAR(10)&amp;$Q355,"")</f>
        <v/>
      </c>
      <c r="S355" s="25"/>
      <c r="T355" s="25"/>
      <c r="U355" s="8"/>
      <c r="V355" s="8" t="str">
        <f>_xlfn.SINGLE(IF($B355 = "", "", IF(_xlfn.SINGLE(_xlfn.TEXTJOIN(" | ", TRUE, IF($B355 = "", "Missing Title", ""), IF($C355 = "", "Missing Date", ""), IF($D355 = "", "Missing Start", ""), IF($E355 = "", "Missing End", ""), IF($G355 = "", "Missing Required Attendees", ""), IF($T355 = "", "Missing Status", ""), IF(AND($D355 &lt;&gt; "", $E355 &lt;&gt; "", $D355 &gt;= $E355), "Start&gt;=End", ""), IF(OR($R355 = "", LEN($R355) &lt; 60, ISNUMBER(MATCH(TRIM($R355), StatusList, 0))), "Body overwritten/short", ""))) = "", "OK", _xlfn.TEXTJOIN(" | ", TRUE, IF($B355 = "", "Missing Title", ""), IF($C355 = "", "Missing Date", ""), IF($D355 = "", "Missing Start", ""), IF($E355 = "", "Missing End", ""), IF($G355 = "", "Missing Required Attendees", ""), IF($T355 = "", "Missing Status", ""), IF(AND($D355 &lt;&gt; "", $E355 &lt;&gt; "", $D355 &gt;= $E355), "Start&gt;=End", ""), IF(OR($R355 = "", LEN($R355) &lt; 60, ISNUMBER(MATCH(TRIM($R355), StatusList, 0))), "Body overwritten/short", "")))))</f>
        <v/>
      </c>
    </row>
    <row r="356" spans="2:22" ht="12.75" customHeight="1">
      <c r="B356" s="25"/>
      <c r="C356" s="34"/>
      <c r="D356" s="38"/>
      <c r="E356" s="38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16" t="str">
        <f>IF($L356&lt;&gt;"","Purpose "&amp;CHAR(10)&amp;$L356&amp;CHAR(10)&amp;CHAR(10),"")&amp;
IF($M356&lt;&gt;"","Stops (in order) "&amp;CHAR(10)&amp;$M356&amp;CHAR(10)&amp;CHAR(10),"")&amp;
IF($N356&lt;&gt;"","To-Do (hard requirements) "&amp;CHAR(10)&amp;$N356&amp;CHAR(10)&amp;CHAR(10),"")&amp;
IF($O356&lt;&gt;"","Suggested Timeline "&amp;CHAR(10)&amp;$O356&amp;CHAR(10)&amp;CHAR(10),"")&amp;
IF($P356&lt;&gt;"","Guardrails "&amp;CHAR(10)&amp;$P356&amp;CHAR(10)&amp;CHAR(10),"")&amp;
IF($Q356&lt;&gt;"","Completion signals "&amp;CHAR(10)&amp;$Q356,"")</f>
        <v/>
      </c>
      <c r="S356" s="25"/>
      <c r="T356" s="25"/>
      <c r="U356" s="8"/>
      <c r="V356" s="8" t="str">
        <f>_xlfn.SINGLE(IF($B356 = "", "", IF(_xlfn.SINGLE(_xlfn.TEXTJOIN(" | ", TRUE, IF($B356 = "", "Missing Title", ""), IF($C356 = "", "Missing Date", ""), IF($D356 = "", "Missing Start", ""), IF($E356 = "", "Missing End", ""), IF($G356 = "", "Missing Required Attendees", ""), IF($T356 = "", "Missing Status", ""), IF(AND($D356 &lt;&gt; "", $E356 &lt;&gt; "", $D356 &gt;= $E356), "Start&gt;=End", ""), IF(OR($R356 = "", LEN($R356) &lt; 60, ISNUMBER(MATCH(TRIM($R356), StatusList, 0))), "Body overwritten/short", ""))) = "", "OK", _xlfn.TEXTJOIN(" | ", TRUE, IF($B356 = "", "Missing Title", ""), IF($C356 = "", "Missing Date", ""), IF($D356 = "", "Missing Start", ""), IF($E356 = "", "Missing End", ""), IF($G356 = "", "Missing Required Attendees", ""), IF($T356 = "", "Missing Status", ""), IF(AND($D356 &lt;&gt; "", $E356 &lt;&gt; "", $D356 &gt;= $E356), "Start&gt;=End", ""), IF(OR($R356 = "", LEN($R356) &lt; 60, ISNUMBER(MATCH(TRIM($R356), StatusList, 0))), "Body overwritten/short", "")))))</f>
        <v/>
      </c>
    </row>
    <row r="357" spans="2:22" ht="12.75" customHeight="1">
      <c r="B357" s="25"/>
      <c r="C357" s="34"/>
      <c r="D357" s="38"/>
      <c r="E357" s="38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16" t="str">
        <f>IF($L357&lt;&gt;"","Purpose "&amp;CHAR(10)&amp;$L357&amp;CHAR(10)&amp;CHAR(10),"")&amp;
IF($M357&lt;&gt;"","Stops (in order) "&amp;CHAR(10)&amp;$M357&amp;CHAR(10)&amp;CHAR(10),"")&amp;
IF($N357&lt;&gt;"","To-Do (hard requirements) "&amp;CHAR(10)&amp;$N357&amp;CHAR(10)&amp;CHAR(10),"")&amp;
IF($O357&lt;&gt;"","Suggested Timeline "&amp;CHAR(10)&amp;$O357&amp;CHAR(10)&amp;CHAR(10),"")&amp;
IF($P357&lt;&gt;"","Guardrails "&amp;CHAR(10)&amp;$P357&amp;CHAR(10)&amp;CHAR(10),"")&amp;
IF($Q357&lt;&gt;"","Completion signals "&amp;CHAR(10)&amp;$Q357,"")</f>
        <v/>
      </c>
      <c r="S357" s="25"/>
      <c r="T357" s="25"/>
      <c r="U357" s="8"/>
      <c r="V357" s="8" t="str">
        <f>_xlfn.SINGLE(IF($B357 = "", "", IF(_xlfn.SINGLE(_xlfn.TEXTJOIN(" | ", TRUE, IF($B357 = "", "Missing Title", ""), IF($C357 = "", "Missing Date", ""), IF($D357 = "", "Missing Start", ""), IF($E357 = "", "Missing End", ""), IF($G357 = "", "Missing Required Attendees", ""), IF($T357 = "", "Missing Status", ""), IF(AND($D357 &lt;&gt; "", $E357 &lt;&gt; "", $D357 &gt;= $E357), "Start&gt;=End", ""), IF(OR($R357 = "", LEN($R357) &lt; 60, ISNUMBER(MATCH(TRIM($R357), StatusList, 0))), "Body overwritten/short", ""))) = "", "OK", _xlfn.TEXTJOIN(" | ", TRUE, IF($B357 = "", "Missing Title", ""), IF($C357 = "", "Missing Date", ""), IF($D357 = "", "Missing Start", ""), IF($E357 = "", "Missing End", ""), IF($G357 = "", "Missing Required Attendees", ""), IF($T357 = "", "Missing Status", ""), IF(AND($D357 &lt;&gt; "", $E357 &lt;&gt; "", $D357 &gt;= $E357), "Start&gt;=End", ""), IF(OR($R357 = "", LEN($R357) &lt; 60, ISNUMBER(MATCH(TRIM($R357), StatusList, 0))), "Body overwritten/short", "")))))</f>
        <v/>
      </c>
    </row>
    <row r="358" spans="2:22" ht="12.75" customHeight="1">
      <c r="B358" s="25"/>
      <c r="C358" s="34"/>
      <c r="D358" s="38"/>
      <c r="E358" s="38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16" t="str">
        <f>IF($L358&lt;&gt;"","Purpose "&amp;CHAR(10)&amp;$L358&amp;CHAR(10)&amp;CHAR(10),"")&amp;
IF($M358&lt;&gt;"","Stops (in order) "&amp;CHAR(10)&amp;$M358&amp;CHAR(10)&amp;CHAR(10),"")&amp;
IF($N358&lt;&gt;"","To-Do (hard requirements) "&amp;CHAR(10)&amp;$N358&amp;CHAR(10)&amp;CHAR(10),"")&amp;
IF($O358&lt;&gt;"","Suggested Timeline "&amp;CHAR(10)&amp;$O358&amp;CHAR(10)&amp;CHAR(10),"")&amp;
IF($P358&lt;&gt;"","Guardrails "&amp;CHAR(10)&amp;$P358&amp;CHAR(10)&amp;CHAR(10),"")&amp;
IF($Q358&lt;&gt;"","Completion signals "&amp;CHAR(10)&amp;$Q358,"")</f>
        <v/>
      </c>
      <c r="S358" s="25"/>
      <c r="T358" s="25"/>
      <c r="U358" s="8"/>
      <c r="V358" s="8" t="str">
        <f>_xlfn.SINGLE(IF($B358 = "", "", IF(_xlfn.SINGLE(_xlfn.TEXTJOIN(" | ", TRUE, IF($B358 = "", "Missing Title", ""), IF($C358 = "", "Missing Date", ""), IF($D358 = "", "Missing Start", ""), IF($E358 = "", "Missing End", ""), IF($G358 = "", "Missing Required Attendees", ""), IF($T358 = "", "Missing Status", ""), IF(AND($D358 &lt;&gt; "", $E358 &lt;&gt; "", $D358 &gt;= $E358), "Start&gt;=End", ""), IF(OR($R358 = "", LEN($R358) &lt; 60, ISNUMBER(MATCH(TRIM($R358), StatusList, 0))), "Body overwritten/short", ""))) = "", "OK", _xlfn.TEXTJOIN(" | ", TRUE, IF($B358 = "", "Missing Title", ""), IF($C358 = "", "Missing Date", ""), IF($D358 = "", "Missing Start", ""), IF($E358 = "", "Missing End", ""), IF($G358 = "", "Missing Required Attendees", ""), IF($T358 = "", "Missing Status", ""), IF(AND($D358 &lt;&gt; "", $E358 &lt;&gt; "", $D358 &gt;= $E358), "Start&gt;=End", ""), IF(OR($R358 = "", LEN($R358) &lt; 60, ISNUMBER(MATCH(TRIM($R358), StatusList, 0))), "Body overwritten/short", "")))))</f>
        <v/>
      </c>
    </row>
    <row r="359" spans="2:22" ht="12.75" customHeight="1">
      <c r="B359" s="25"/>
      <c r="C359" s="34"/>
      <c r="D359" s="38"/>
      <c r="E359" s="38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16" t="str">
        <f>IF($L359&lt;&gt;"","Purpose "&amp;CHAR(10)&amp;$L359&amp;CHAR(10)&amp;CHAR(10),"")&amp;
IF($M359&lt;&gt;"","Stops (in order) "&amp;CHAR(10)&amp;$M359&amp;CHAR(10)&amp;CHAR(10),"")&amp;
IF($N359&lt;&gt;"","To-Do (hard requirements) "&amp;CHAR(10)&amp;$N359&amp;CHAR(10)&amp;CHAR(10),"")&amp;
IF($O359&lt;&gt;"","Suggested Timeline "&amp;CHAR(10)&amp;$O359&amp;CHAR(10)&amp;CHAR(10),"")&amp;
IF($P359&lt;&gt;"","Guardrails "&amp;CHAR(10)&amp;$P359&amp;CHAR(10)&amp;CHAR(10),"")&amp;
IF($Q359&lt;&gt;"","Completion signals "&amp;CHAR(10)&amp;$Q359,"")</f>
        <v/>
      </c>
      <c r="S359" s="25"/>
      <c r="T359" s="25"/>
      <c r="U359" s="8"/>
      <c r="V359" s="8" t="str">
        <f>_xlfn.SINGLE(IF($B359 = "", "", IF(_xlfn.SINGLE(_xlfn.TEXTJOIN(" | ", TRUE, IF($B359 = "", "Missing Title", ""), IF($C359 = "", "Missing Date", ""), IF($D359 = "", "Missing Start", ""), IF($E359 = "", "Missing End", ""), IF($G359 = "", "Missing Required Attendees", ""), IF($T359 = "", "Missing Status", ""), IF(AND($D359 &lt;&gt; "", $E359 &lt;&gt; "", $D359 &gt;= $E359), "Start&gt;=End", ""), IF(OR($R359 = "", LEN($R359) &lt; 60, ISNUMBER(MATCH(TRIM($R359), StatusList, 0))), "Body overwritten/short", ""))) = "", "OK", _xlfn.TEXTJOIN(" | ", TRUE, IF($B359 = "", "Missing Title", ""), IF($C359 = "", "Missing Date", ""), IF($D359 = "", "Missing Start", ""), IF($E359 = "", "Missing End", ""), IF($G359 = "", "Missing Required Attendees", ""), IF($T359 = "", "Missing Status", ""), IF(AND($D359 &lt;&gt; "", $E359 &lt;&gt; "", $D359 &gt;= $E359), "Start&gt;=End", ""), IF(OR($R359 = "", LEN($R359) &lt; 60, ISNUMBER(MATCH(TRIM($R359), StatusList, 0))), "Body overwritten/short", "")))))</f>
        <v/>
      </c>
    </row>
    <row r="360" spans="2:22" ht="12.75" customHeight="1">
      <c r="B360" s="25"/>
      <c r="C360" s="34"/>
      <c r="D360" s="38"/>
      <c r="E360" s="38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16" t="str">
        <f>IF($L360&lt;&gt;"","Purpose "&amp;CHAR(10)&amp;$L360&amp;CHAR(10)&amp;CHAR(10),"")&amp;
IF($M360&lt;&gt;"","Stops (in order) "&amp;CHAR(10)&amp;$M360&amp;CHAR(10)&amp;CHAR(10),"")&amp;
IF($N360&lt;&gt;"","To-Do (hard requirements) "&amp;CHAR(10)&amp;$N360&amp;CHAR(10)&amp;CHAR(10),"")&amp;
IF($O360&lt;&gt;"","Suggested Timeline "&amp;CHAR(10)&amp;$O360&amp;CHAR(10)&amp;CHAR(10),"")&amp;
IF($P360&lt;&gt;"","Guardrails "&amp;CHAR(10)&amp;$P360&amp;CHAR(10)&amp;CHAR(10),"")&amp;
IF($Q360&lt;&gt;"","Completion signals "&amp;CHAR(10)&amp;$Q360,"")</f>
        <v/>
      </c>
      <c r="S360" s="25"/>
      <c r="T360" s="25"/>
      <c r="U360" s="8"/>
      <c r="V360" s="8" t="str">
        <f>_xlfn.SINGLE(IF($B360 = "", "", IF(_xlfn.SINGLE(_xlfn.TEXTJOIN(" | ", TRUE, IF($B360 = "", "Missing Title", ""), IF($C360 = "", "Missing Date", ""), IF($D360 = "", "Missing Start", ""), IF($E360 = "", "Missing End", ""), IF($G360 = "", "Missing Required Attendees", ""), IF($T360 = "", "Missing Status", ""), IF(AND($D360 &lt;&gt; "", $E360 &lt;&gt; "", $D360 &gt;= $E360), "Start&gt;=End", ""), IF(OR($R360 = "", LEN($R360) &lt; 60, ISNUMBER(MATCH(TRIM($R360), StatusList, 0))), "Body overwritten/short", ""))) = "", "OK", _xlfn.TEXTJOIN(" | ", TRUE, IF($B360 = "", "Missing Title", ""), IF($C360 = "", "Missing Date", ""), IF($D360 = "", "Missing Start", ""), IF($E360 = "", "Missing End", ""), IF($G360 = "", "Missing Required Attendees", ""), IF($T360 = "", "Missing Status", ""), IF(AND($D360 &lt;&gt; "", $E360 &lt;&gt; "", $D360 &gt;= $E360), "Start&gt;=End", ""), IF(OR($R360 = "", LEN($R360) &lt; 60, ISNUMBER(MATCH(TRIM($R360), StatusList, 0))), "Body overwritten/short", "")))))</f>
        <v/>
      </c>
    </row>
    <row r="361" spans="2:22" ht="12.75" customHeight="1">
      <c r="B361" s="25"/>
      <c r="C361" s="34"/>
      <c r="D361" s="38"/>
      <c r="E361" s="38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16" t="str">
        <f>IF($L361&lt;&gt;"","Purpose "&amp;CHAR(10)&amp;$L361&amp;CHAR(10)&amp;CHAR(10),"")&amp;
IF($M361&lt;&gt;"","Stops (in order) "&amp;CHAR(10)&amp;$M361&amp;CHAR(10)&amp;CHAR(10),"")&amp;
IF($N361&lt;&gt;"","To-Do (hard requirements) "&amp;CHAR(10)&amp;$N361&amp;CHAR(10)&amp;CHAR(10),"")&amp;
IF($O361&lt;&gt;"","Suggested Timeline "&amp;CHAR(10)&amp;$O361&amp;CHAR(10)&amp;CHAR(10),"")&amp;
IF($P361&lt;&gt;"","Guardrails "&amp;CHAR(10)&amp;$P361&amp;CHAR(10)&amp;CHAR(10),"")&amp;
IF($Q361&lt;&gt;"","Completion signals "&amp;CHAR(10)&amp;$Q361,"")</f>
        <v/>
      </c>
      <c r="S361" s="25"/>
      <c r="T361" s="25"/>
      <c r="U361" s="8"/>
      <c r="V361" s="8" t="str">
        <f>_xlfn.SINGLE(IF($B361 = "", "", IF(_xlfn.SINGLE(_xlfn.TEXTJOIN(" | ", TRUE, IF($B361 = "", "Missing Title", ""), IF($C361 = "", "Missing Date", ""), IF($D361 = "", "Missing Start", ""), IF($E361 = "", "Missing End", ""), IF($G361 = "", "Missing Required Attendees", ""), IF($T361 = "", "Missing Status", ""), IF(AND($D361 &lt;&gt; "", $E361 &lt;&gt; "", $D361 &gt;= $E361), "Start&gt;=End", ""), IF(OR($R361 = "", LEN($R361) &lt; 60, ISNUMBER(MATCH(TRIM($R361), StatusList, 0))), "Body overwritten/short", ""))) = "", "OK", _xlfn.TEXTJOIN(" | ", TRUE, IF($B361 = "", "Missing Title", ""), IF($C361 = "", "Missing Date", ""), IF($D361 = "", "Missing Start", ""), IF($E361 = "", "Missing End", ""), IF($G361 = "", "Missing Required Attendees", ""), IF($T361 = "", "Missing Status", ""), IF(AND($D361 &lt;&gt; "", $E361 &lt;&gt; "", $D361 &gt;= $E361), "Start&gt;=End", ""), IF(OR($R361 = "", LEN($R361) &lt; 60, ISNUMBER(MATCH(TRIM($R361), StatusList, 0))), "Body overwritten/short", "")))))</f>
        <v/>
      </c>
    </row>
    <row r="362" spans="2:22" ht="12.75" customHeight="1">
      <c r="B362" s="25"/>
      <c r="C362" s="34"/>
      <c r="D362" s="38"/>
      <c r="E362" s="38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16" t="str">
        <f>IF($L362&lt;&gt;"","Purpose "&amp;CHAR(10)&amp;$L362&amp;CHAR(10)&amp;CHAR(10),"")&amp;
IF($M362&lt;&gt;"","Stops (in order) "&amp;CHAR(10)&amp;$M362&amp;CHAR(10)&amp;CHAR(10),"")&amp;
IF($N362&lt;&gt;"","To-Do (hard requirements) "&amp;CHAR(10)&amp;$N362&amp;CHAR(10)&amp;CHAR(10),"")&amp;
IF($O362&lt;&gt;"","Suggested Timeline "&amp;CHAR(10)&amp;$O362&amp;CHAR(10)&amp;CHAR(10),"")&amp;
IF($P362&lt;&gt;"","Guardrails "&amp;CHAR(10)&amp;$P362&amp;CHAR(10)&amp;CHAR(10),"")&amp;
IF($Q362&lt;&gt;"","Completion signals "&amp;CHAR(10)&amp;$Q362,"")</f>
        <v/>
      </c>
      <c r="S362" s="25"/>
      <c r="T362" s="25"/>
      <c r="U362" s="8"/>
      <c r="V362" s="8" t="str">
        <f>_xlfn.SINGLE(IF($B362 = "", "", IF(_xlfn.SINGLE(_xlfn.TEXTJOIN(" | ", TRUE, IF($B362 = "", "Missing Title", ""), IF($C362 = "", "Missing Date", ""), IF($D362 = "", "Missing Start", ""), IF($E362 = "", "Missing End", ""), IF($G362 = "", "Missing Required Attendees", ""), IF($T362 = "", "Missing Status", ""), IF(AND($D362 &lt;&gt; "", $E362 &lt;&gt; "", $D362 &gt;= $E362), "Start&gt;=End", ""), IF(OR($R362 = "", LEN($R362) &lt; 60, ISNUMBER(MATCH(TRIM($R362), StatusList, 0))), "Body overwritten/short", ""))) = "", "OK", _xlfn.TEXTJOIN(" | ", TRUE, IF($B362 = "", "Missing Title", ""), IF($C362 = "", "Missing Date", ""), IF($D362 = "", "Missing Start", ""), IF($E362 = "", "Missing End", ""), IF($G362 = "", "Missing Required Attendees", ""), IF($T362 = "", "Missing Status", ""), IF(AND($D362 &lt;&gt; "", $E362 &lt;&gt; "", $D362 &gt;= $E362), "Start&gt;=End", ""), IF(OR($R362 = "", LEN($R362) &lt; 60, ISNUMBER(MATCH(TRIM($R362), StatusList, 0))), "Body overwritten/short", "")))))</f>
        <v/>
      </c>
    </row>
    <row r="363" spans="2:22" ht="12.75" customHeight="1">
      <c r="B363" s="25"/>
      <c r="C363" s="34"/>
      <c r="D363" s="38"/>
      <c r="E363" s="38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16" t="str">
        <f>IF($L363&lt;&gt;"","Purpose "&amp;CHAR(10)&amp;$L363&amp;CHAR(10)&amp;CHAR(10),"")&amp;
IF($M363&lt;&gt;"","Stops (in order) "&amp;CHAR(10)&amp;$M363&amp;CHAR(10)&amp;CHAR(10),"")&amp;
IF($N363&lt;&gt;"","To-Do (hard requirements) "&amp;CHAR(10)&amp;$N363&amp;CHAR(10)&amp;CHAR(10),"")&amp;
IF($O363&lt;&gt;"","Suggested Timeline "&amp;CHAR(10)&amp;$O363&amp;CHAR(10)&amp;CHAR(10),"")&amp;
IF($P363&lt;&gt;"","Guardrails "&amp;CHAR(10)&amp;$P363&amp;CHAR(10)&amp;CHAR(10),"")&amp;
IF($Q363&lt;&gt;"","Completion signals "&amp;CHAR(10)&amp;$Q363,"")</f>
        <v/>
      </c>
      <c r="S363" s="25"/>
      <c r="T363" s="25"/>
      <c r="U363" s="8"/>
      <c r="V363" s="8" t="str">
        <f>_xlfn.SINGLE(IF($B363 = "", "", IF(_xlfn.SINGLE(_xlfn.TEXTJOIN(" | ", TRUE, IF($B363 = "", "Missing Title", ""), IF($C363 = "", "Missing Date", ""), IF($D363 = "", "Missing Start", ""), IF($E363 = "", "Missing End", ""), IF($G363 = "", "Missing Required Attendees", ""), IF($T363 = "", "Missing Status", ""), IF(AND($D363 &lt;&gt; "", $E363 &lt;&gt; "", $D363 &gt;= $E363), "Start&gt;=End", ""), IF(OR($R363 = "", LEN($R363) &lt; 60, ISNUMBER(MATCH(TRIM($R363), StatusList, 0))), "Body overwritten/short", ""))) = "", "OK", _xlfn.TEXTJOIN(" | ", TRUE, IF($B363 = "", "Missing Title", ""), IF($C363 = "", "Missing Date", ""), IF($D363 = "", "Missing Start", ""), IF($E363 = "", "Missing End", ""), IF($G363 = "", "Missing Required Attendees", ""), IF($T363 = "", "Missing Status", ""), IF(AND($D363 &lt;&gt; "", $E363 &lt;&gt; "", $D363 &gt;= $E363), "Start&gt;=End", ""), IF(OR($R363 = "", LEN($R363) &lt; 60, ISNUMBER(MATCH(TRIM($R363), StatusList, 0))), "Body overwritten/short", "")))))</f>
        <v/>
      </c>
    </row>
    <row r="364" spans="2:22" ht="12.75" customHeight="1">
      <c r="B364" s="25"/>
      <c r="C364" s="34"/>
      <c r="D364" s="38"/>
      <c r="E364" s="38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16" t="str">
        <f>IF($L364&lt;&gt;"","Purpose "&amp;CHAR(10)&amp;$L364&amp;CHAR(10)&amp;CHAR(10),"")&amp;
IF($M364&lt;&gt;"","Stops (in order) "&amp;CHAR(10)&amp;$M364&amp;CHAR(10)&amp;CHAR(10),"")&amp;
IF($N364&lt;&gt;"","To-Do (hard requirements) "&amp;CHAR(10)&amp;$N364&amp;CHAR(10)&amp;CHAR(10),"")&amp;
IF($O364&lt;&gt;"","Suggested Timeline "&amp;CHAR(10)&amp;$O364&amp;CHAR(10)&amp;CHAR(10),"")&amp;
IF($P364&lt;&gt;"","Guardrails "&amp;CHAR(10)&amp;$P364&amp;CHAR(10)&amp;CHAR(10),"")&amp;
IF($Q364&lt;&gt;"","Completion signals "&amp;CHAR(10)&amp;$Q364,"")</f>
        <v/>
      </c>
      <c r="S364" s="25"/>
      <c r="T364" s="25"/>
      <c r="U364" s="8"/>
      <c r="V364" s="8" t="str">
        <f>_xlfn.SINGLE(IF($B364 = "", "", IF(_xlfn.SINGLE(_xlfn.TEXTJOIN(" | ", TRUE, IF($B364 = "", "Missing Title", ""), IF($C364 = "", "Missing Date", ""), IF($D364 = "", "Missing Start", ""), IF($E364 = "", "Missing End", ""), IF($G364 = "", "Missing Required Attendees", ""), IF($T364 = "", "Missing Status", ""), IF(AND($D364 &lt;&gt; "", $E364 &lt;&gt; "", $D364 &gt;= $E364), "Start&gt;=End", ""), IF(OR($R364 = "", LEN($R364) &lt; 60, ISNUMBER(MATCH(TRIM($R364), StatusList, 0))), "Body overwritten/short", ""))) = "", "OK", _xlfn.TEXTJOIN(" | ", TRUE, IF($B364 = "", "Missing Title", ""), IF($C364 = "", "Missing Date", ""), IF($D364 = "", "Missing Start", ""), IF($E364 = "", "Missing End", ""), IF($G364 = "", "Missing Required Attendees", ""), IF($T364 = "", "Missing Status", ""), IF(AND($D364 &lt;&gt; "", $E364 &lt;&gt; "", $D364 &gt;= $E364), "Start&gt;=End", ""), IF(OR($R364 = "", LEN($R364) &lt; 60, ISNUMBER(MATCH(TRIM($R364), StatusList, 0))), "Body overwritten/short", "")))))</f>
        <v/>
      </c>
    </row>
    <row r="365" spans="2:22" ht="12.75" customHeight="1">
      <c r="B365" s="25"/>
      <c r="C365" s="34"/>
      <c r="D365" s="38"/>
      <c r="E365" s="38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16" t="str">
        <f>IF($L365&lt;&gt;"","Purpose "&amp;CHAR(10)&amp;$L365&amp;CHAR(10)&amp;CHAR(10),"")&amp;
IF($M365&lt;&gt;"","Stops (in order) "&amp;CHAR(10)&amp;$M365&amp;CHAR(10)&amp;CHAR(10),"")&amp;
IF($N365&lt;&gt;"","To-Do (hard requirements) "&amp;CHAR(10)&amp;$N365&amp;CHAR(10)&amp;CHAR(10),"")&amp;
IF($O365&lt;&gt;"","Suggested Timeline "&amp;CHAR(10)&amp;$O365&amp;CHAR(10)&amp;CHAR(10),"")&amp;
IF($P365&lt;&gt;"","Guardrails "&amp;CHAR(10)&amp;$P365&amp;CHAR(10)&amp;CHAR(10),"")&amp;
IF($Q365&lt;&gt;"","Completion signals "&amp;CHAR(10)&amp;$Q365,"")</f>
        <v/>
      </c>
      <c r="S365" s="25"/>
      <c r="T365" s="25"/>
      <c r="U365" s="8"/>
      <c r="V365" s="8" t="str">
        <f>_xlfn.SINGLE(IF($B365 = "", "", IF(_xlfn.SINGLE(_xlfn.TEXTJOIN(" | ", TRUE, IF($B365 = "", "Missing Title", ""), IF($C365 = "", "Missing Date", ""), IF($D365 = "", "Missing Start", ""), IF($E365 = "", "Missing End", ""), IF($G365 = "", "Missing Required Attendees", ""), IF($T365 = "", "Missing Status", ""), IF(AND($D365 &lt;&gt; "", $E365 &lt;&gt; "", $D365 &gt;= $E365), "Start&gt;=End", ""), IF(OR($R365 = "", LEN($R365) &lt; 60, ISNUMBER(MATCH(TRIM($R365), StatusList, 0))), "Body overwritten/short", ""))) = "", "OK", _xlfn.TEXTJOIN(" | ", TRUE, IF($B365 = "", "Missing Title", ""), IF($C365 = "", "Missing Date", ""), IF($D365 = "", "Missing Start", ""), IF($E365 = "", "Missing End", ""), IF($G365 = "", "Missing Required Attendees", ""), IF($T365 = "", "Missing Status", ""), IF(AND($D365 &lt;&gt; "", $E365 &lt;&gt; "", $D365 &gt;= $E365), "Start&gt;=End", ""), IF(OR($R365 = "", LEN($R365) &lt; 60, ISNUMBER(MATCH(TRIM($R365), StatusList, 0))), "Body overwritten/short", "")))))</f>
        <v/>
      </c>
    </row>
    <row r="366" spans="2:22" ht="12.75" customHeight="1">
      <c r="B366" s="25"/>
      <c r="C366" s="34"/>
      <c r="D366" s="38"/>
      <c r="E366" s="38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16" t="str">
        <f>IF($L366&lt;&gt;"","Purpose "&amp;CHAR(10)&amp;$L366&amp;CHAR(10)&amp;CHAR(10),"")&amp;
IF($M366&lt;&gt;"","Stops (in order) "&amp;CHAR(10)&amp;$M366&amp;CHAR(10)&amp;CHAR(10),"")&amp;
IF($N366&lt;&gt;"","To-Do (hard requirements) "&amp;CHAR(10)&amp;$N366&amp;CHAR(10)&amp;CHAR(10),"")&amp;
IF($O366&lt;&gt;"","Suggested Timeline "&amp;CHAR(10)&amp;$O366&amp;CHAR(10)&amp;CHAR(10),"")&amp;
IF($P366&lt;&gt;"","Guardrails "&amp;CHAR(10)&amp;$P366&amp;CHAR(10)&amp;CHAR(10),"")&amp;
IF($Q366&lt;&gt;"","Completion signals "&amp;CHAR(10)&amp;$Q366,"")</f>
        <v/>
      </c>
      <c r="S366" s="25"/>
      <c r="T366" s="25"/>
      <c r="U366" s="8"/>
      <c r="V366" s="8" t="str">
        <f>_xlfn.SINGLE(IF($B366 = "", "", IF(_xlfn.SINGLE(_xlfn.TEXTJOIN(" | ", TRUE, IF($B366 = "", "Missing Title", ""), IF($C366 = "", "Missing Date", ""), IF($D366 = "", "Missing Start", ""), IF($E366 = "", "Missing End", ""), IF($G366 = "", "Missing Required Attendees", ""), IF($T366 = "", "Missing Status", ""), IF(AND($D366 &lt;&gt; "", $E366 &lt;&gt; "", $D366 &gt;= $E366), "Start&gt;=End", ""), IF(OR($R366 = "", LEN($R366) &lt; 60, ISNUMBER(MATCH(TRIM($R366), StatusList, 0))), "Body overwritten/short", ""))) = "", "OK", _xlfn.TEXTJOIN(" | ", TRUE, IF($B366 = "", "Missing Title", ""), IF($C366 = "", "Missing Date", ""), IF($D366 = "", "Missing Start", ""), IF($E366 = "", "Missing End", ""), IF($G366 = "", "Missing Required Attendees", ""), IF($T366 = "", "Missing Status", ""), IF(AND($D366 &lt;&gt; "", $E366 &lt;&gt; "", $D366 &gt;= $E366), "Start&gt;=End", ""), IF(OR($R366 = "", LEN($R366) &lt; 60, ISNUMBER(MATCH(TRIM($R366), StatusList, 0))), "Body overwritten/short", "")))))</f>
        <v/>
      </c>
    </row>
    <row r="367" spans="2:22" ht="12.75" customHeight="1">
      <c r="B367" s="25"/>
      <c r="C367" s="34"/>
      <c r="D367" s="38"/>
      <c r="E367" s="38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16" t="str">
        <f>IF($L367&lt;&gt;"","Purpose "&amp;CHAR(10)&amp;$L367&amp;CHAR(10)&amp;CHAR(10),"")&amp;
IF($M367&lt;&gt;"","Stops (in order) "&amp;CHAR(10)&amp;$M367&amp;CHAR(10)&amp;CHAR(10),"")&amp;
IF($N367&lt;&gt;"","To-Do (hard requirements) "&amp;CHAR(10)&amp;$N367&amp;CHAR(10)&amp;CHAR(10),"")&amp;
IF($O367&lt;&gt;"","Suggested Timeline "&amp;CHAR(10)&amp;$O367&amp;CHAR(10)&amp;CHAR(10),"")&amp;
IF($P367&lt;&gt;"","Guardrails "&amp;CHAR(10)&amp;$P367&amp;CHAR(10)&amp;CHAR(10),"")&amp;
IF($Q367&lt;&gt;"","Completion signals "&amp;CHAR(10)&amp;$Q367,"")</f>
        <v/>
      </c>
      <c r="S367" s="25"/>
      <c r="T367" s="25"/>
      <c r="U367" s="8"/>
      <c r="V367" s="8" t="str">
        <f>_xlfn.SINGLE(IF($B367 = "", "", IF(_xlfn.SINGLE(_xlfn.TEXTJOIN(" | ", TRUE, IF($B367 = "", "Missing Title", ""), IF($C367 = "", "Missing Date", ""), IF($D367 = "", "Missing Start", ""), IF($E367 = "", "Missing End", ""), IF($G367 = "", "Missing Required Attendees", ""), IF($T367 = "", "Missing Status", ""), IF(AND($D367 &lt;&gt; "", $E367 &lt;&gt; "", $D367 &gt;= $E367), "Start&gt;=End", ""), IF(OR($R367 = "", LEN($R367) &lt; 60, ISNUMBER(MATCH(TRIM($R367), StatusList, 0))), "Body overwritten/short", ""))) = "", "OK", _xlfn.TEXTJOIN(" | ", TRUE, IF($B367 = "", "Missing Title", ""), IF($C367 = "", "Missing Date", ""), IF($D367 = "", "Missing Start", ""), IF($E367 = "", "Missing End", ""), IF($G367 = "", "Missing Required Attendees", ""), IF($T367 = "", "Missing Status", ""), IF(AND($D367 &lt;&gt; "", $E367 &lt;&gt; "", $D367 &gt;= $E367), "Start&gt;=End", ""), IF(OR($R367 = "", LEN($R367) &lt; 60, ISNUMBER(MATCH(TRIM($R367), StatusList, 0))), "Body overwritten/short", "")))))</f>
        <v/>
      </c>
    </row>
    <row r="368" spans="2:22" ht="12.75" customHeight="1">
      <c r="B368" s="25"/>
      <c r="C368" s="34"/>
      <c r="D368" s="38"/>
      <c r="E368" s="38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16" t="str">
        <f>IF($L368&lt;&gt;"","Purpose "&amp;CHAR(10)&amp;$L368&amp;CHAR(10)&amp;CHAR(10),"")&amp;
IF($M368&lt;&gt;"","Stops (in order) "&amp;CHAR(10)&amp;$M368&amp;CHAR(10)&amp;CHAR(10),"")&amp;
IF($N368&lt;&gt;"","To-Do (hard requirements) "&amp;CHAR(10)&amp;$N368&amp;CHAR(10)&amp;CHAR(10),"")&amp;
IF($O368&lt;&gt;"","Suggested Timeline "&amp;CHAR(10)&amp;$O368&amp;CHAR(10)&amp;CHAR(10),"")&amp;
IF($P368&lt;&gt;"","Guardrails "&amp;CHAR(10)&amp;$P368&amp;CHAR(10)&amp;CHAR(10),"")&amp;
IF($Q368&lt;&gt;"","Completion signals "&amp;CHAR(10)&amp;$Q368,"")</f>
        <v/>
      </c>
      <c r="S368" s="25"/>
      <c r="T368" s="25"/>
      <c r="U368" s="8"/>
      <c r="V368" s="8" t="str">
        <f>_xlfn.SINGLE(IF($B368 = "", "", IF(_xlfn.SINGLE(_xlfn.TEXTJOIN(" | ", TRUE, IF($B368 = "", "Missing Title", ""), IF($C368 = "", "Missing Date", ""), IF($D368 = "", "Missing Start", ""), IF($E368 = "", "Missing End", ""), IF($G368 = "", "Missing Required Attendees", ""), IF($T368 = "", "Missing Status", ""), IF(AND($D368 &lt;&gt; "", $E368 &lt;&gt; "", $D368 &gt;= $E368), "Start&gt;=End", ""), IF(OR($R368 = "", LEN($R368) &lt; 60, ISNUMBER(MATCH(TRIM($R368), StatusList, 0))), "Body overwritten/short", ""))) = "", "OK", _xlfn.TEXTJOIN(" | ", TRUE, IF($B368 = "", "Missing Title", ""), IF($C368 = "", "Missing Date", ""), IF($D368 = "", "Missing Start", ""), IF($E368 = "", "Missing End", ""), IF($G368 = "", "Missing Required Attendees", ""), IF($T368 = "", "Missing Status", ""), IF(AND($D368 &lt;&gt; "", $E368 &lt;&gt; "", $D368 &gt;= $E368), "Start&gt;=End", ""), IF(OR($R368 = "", LEN($R368) &lt; 60, ISNUMBER(MATCH(TRIM($R368), StatusList, 0))), "Body overwritten/short", "")))))</f>
        <v/>
      </c>
    </row>
    <row r="369" spans="2:22" ht="12.75" customHeight="1">
      <c r="B369" s="25"/>
      <c r="C369" s="34"/>
      <c r="D369" s="38"/>
      <c r="E369" s="38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16" t="str">
        <f>IF($L369&lt;&gt;"","Purpose "&amp;CHAR(10)&amp;$L369&amp;CHAR(10)&amp;CHAR(10),"")&amp;
IF($M369&lt;&gt;"","Stops (in order) "&amp;CHAR(10)&amp;$M369&amp;CHAR(10)&amp;CHAR(10),"")&amp;
IF($N369&lt;&gt;"","To-Do (hard requirements) "&amp;CHAR(10)&amp;$N369&amp;CHAR(10)&amp;CHAR(10),"")&amp;
IF($O369&lt;&gt;"","Suggested Timeline "&amp;CHAR(10)&amp;$O369&amp;CHAR(10)&amp;CHAR(10),"")&amp;
IF($P369&lt;&gt;"","Guardrails "&amp;CHAR(10)&amp;$P369&amp;CHAR(10)&amp;CHAR(10),"")&amp;
IF($Q369&lt;&gt;"","Completion signals "&amp;CHAR(10)&amp;$Q369,"")</f>
        <v/>
      </c>
      <c r="S369" s="25"/>
      <c r="T369" s="25"/>
      <c r="U369" s="8"/>
      <c r="V369" s="8" t="str">
        <f>_xlfn.SINGLE(IF($B369 = "", "", IF(_xlfn.SINGLE(_xlfn.TEXTJOIN(" | ", TRUE, IF($B369 = "", "Missing Title", ""), IF($C369 = "", "Missing Date", ""), IF($D369 = "", "Missing Start", ""), IF($E369 = "", "Missing End", ""), IF($G369 = "", "Missing Required Attendees", ""), IF($T369 = "", "Missing Status", ""), IF(AND($D369 &lt;&gt; "", $E369 &lt;&gt; "", $D369 &gt;= $E369), "Start&gt;=End", ""), IF(OR($R369 = "", LEN($R369) &lt; 60, ISNUMBER(MATCH(TRIM($R369), StatusList, 0))), "Body overwritten/short", ""))) = "", "OK", _xlfn.TEXTJOIN(" | ", TRUE, IF($B369 = "", "Missing Title", ""), IF($C369 = "", "Missing Date", ""), IF($D369 = "", "Missing Start", ""), IF($E369 = "", "Missing End", ""), IF($G369 = "", "Missing Required Attendees", ""), IF($T369 = "", "Missing Status", ""), IF(AND($D369 &lt;&gt; "", $E369 &lt;&gt; "", $D369 &gt;= $E369), "Start&gt;=End", ""), IF(OR($R369 = "", LEN($R369) &lt; 60, ISNUMBER(MATCH(TRIM($R369), StatusList, 0))), "Body overwritten/short", "")))))</f>
        <v/>
      </c>
    </row>
    <row r="370" spans="2:22" ht="12.75" customHeight="1">
      <c r="B370" s="25"/>
      <c r="C370" s="34"/>
      <c r="D370" s="38"/>
      <c r="E370" s="38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16" t="str">
        <f>IF($L370&lt;&gt;"","Purpose "&amp;CHAR(10)&amp;$L370&amp;CHAR(10)&amp;CHAR(10),"")&amp;
IF($M370&lt;&gt;"","Stops (in order) "&amp;CHAR(10)&amp;$M370&amp;CHAR(10)&amp;CHAR(10),"")&amp;
IF($N370&lt;&gt;"","To-Do (hard requirements) "&amp;CHAR(10)&amp;$N370&amp;CHAR(10)&amp;CHAR(10),"")&amp;
IF($O370&lt;&gt;"","Suggested Timeline "&amp;CHAR(10)&amp;$O370&amp;CHAR(10)&amp;CHAR(10),"")&amp;
IF($P370&lt;&gt;"","Guardrails "&amp;CHAR(10)&amp;$P370&amp;CHAR(10)&amp;CHAR(10),"")&amp;
IF($Q370&lt;&gt;"","Completion signals "&amp;CHAR(10)&amp;$Q370,"")</f>
        <v/>
      </c>
      <c r="S370" s="25"/>
      <c r="T370" s="25"/>
      <c r="U370" s="8"/>
      <c r="V370" s="8" t="str">
        <f>_xlfn.SINGLE(IF($B370 = "", "", IF(_xlfn.SINGLE(_xlfn.TEXTJOIN(" | ", TRUE, IF($B370 = "", "Missing Title", ""), IF($C370 = "", "Missing Date", ""), IF($D370 = "", "Missing Start", ""), IF($E370 = "", "Missing End", ""), IF($G370 = "", "Missing Required Attendees", ""), IF($T370 = "", "Missing Status", ""), IF(AND($D370 &lt;&gt; "", $E370 &lt;&gt; "", $D370 &gt;= $E370), "Start&gt;=End", ""), IF(OR($R370 = "", LEN($R370) &lt; 60, ISNUMBER(MATCH(TRIM($R370), StatusList, 0))), "Body overwritten/short", ""))) = "", "OK", _xlfn.TEXTJOIN(" | ", TRUE, IF($B370 = "", "Missing Title", ""), IF($C370 = "", "Missing Date", ""), IF($D370 = "", "Missing Start", ""), IF($E370 = "", "Missing End", ""), IF($G370 = "", "Missing Required Attendees", ""), IF($T370 = "", "Missing Status", ""), IF(AND($D370 &lt;&gt; "", $E370 &lt;&gt; "", $D370 &gt;= $E370), "Start&gt;=End", ""), IF(OR($R370 = "", LEN($R370) &lt; 60, ISNUMBER(MATCH(TRIM($R370), StatusList, 0))), "Body overwritten/short", "")))))</f>
        <v/>
      </c>
    </row>
    <row r="371" spans="2:22" ht="12.75" customHeight="1">
      <c r="B371" s="25"/>
      <c r="C371" s="34"/>
      <c r="D371" s="38"/>
      <c r="E371" s="38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16" t="str">
        <f>IF($L371&lt;&gt;"","Purpose "&amp;CHAR(10)&amp;$L371&amp;CHAR(10)&amp;CHAR(10),"")&amp;
IF($M371&lt;&gt;"","Stops (in order) "&amp;CHAR(10)&amp;$M371&amp;CHAR(10)&amp;CHAR(10),"")&amp;
IF($N371&lt;&gt;"","To-Do (hard requirements) "&amp;CHAR(10)&amp;$N371&amp;CHAR(10)&amp;CHAR(10),"")&amp;
IF($O371&lt;&gt;"","Suggested Timeline "&amp;CHAR(10)&amp;$O371&amp;CHAR(10)&amp;CHAR(10),"")&amp;
IF($P371&lt;&gt;"","Guardrails "&amp;CHAR(10)&amp;$P371&amp;CHAR(10)&amp;CHAR(10),"")&amp;
IF($Q371&lt;&gt;"","Completion signals "&amp;CHAR(10)&amp;$Q371,"")</f>
        <v/>
      </c>
      <c r="S371" s="25"/>
      <c r="T371" s="25"/>
      <c r="U371" s="8"/>
      <c r="V371" s="8" t="str">
        <f>_xlfn.SINGLE(IF($B371 = "", "", IF(_xlfn.SINGLE(_xlfn.TEXTJOIN(" | ", TRUE, IF($B371 = "", "Missing Title", ""), IF($C371 = "", "Missing Date", ""), IF($D371 = "", "Missing Start", ""), IF($E371 = "", "Missing End", ""), IF($G371 = "", "Missing Required Attendees", ""), IF($T371 = "", "Missing Status", ""), IF(AND($D371 &lt;&gt; "", $E371 &lt;&gt; "", $D371 &gt;= $E371), "Start&gt;=End", ""), IF(OR($R371 = "", LEN($R371) &lt; 60, ISNUMBER(MATCH(TRIM($R371), StatusList, 0))), "Body overwritten/short", ""))) = "", "OK", _xlfn.TEXTJOIN(" | ", TRUE, IF($B371 = "", "Missing Title", ""), IF($C371 = "", "Missing Date", ""), IF($D371 = "", "Missing Start", ""), IF($E371 = "", "Missing End", ""), IF($G371 = "", "Missing Required Attendees", ""), IF($T371 = "", "Missing Status", ""), IF(AND($D371 &lt;&gt; "", $E371 &lt;&gt; "", $D371 &gt;= $E371), "Start&gt;=End", ""), IF(OR($R371 = "", LEN($R371) &lt; 60, ISNUMBER(MATCH(TRIM($R371), StatusList, 0))), "Body overwritten/short", "")))))</f>
        <v/>
      </c>
    </row>
    <row r="372" spans="2:22" ht="12.75" customHeight="1">
      <c r="B372" s="25"/>
      <c r="C372" s="34"/>
      <c r="D372" s="38"/>
      <c r="E372" s="38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16" t="str">
        <f>IF($L372&lt;&gt;"","Purpose "&amp;CHAR(10)&amp;$L372&amp;CHAR(10)&amp;CHAR(10),"")&amp;
IF($M372&lt;&gt;"","Stops (in order) "&amp;CHAR(10)&amp;$M372&amp;CHAR(10)&amp;CHAR(10),"")&amp;
IF($N372&lt;&gt;"","To-Do (hard requirements) "&amp;CHAR(10)&amp;$N372&amp;CHAR(10)&amp;CHAR(10),"")&amp;
IF($O372&lt;&gt;"","Suggested Timeline "&amp;CHAR(10)&amp;$O372&amp;CHAR(10)&amp;CHAR(10),"")&amp;
IF($P372&lt;&gt;"","Guardrails "&amp;CHAR(10)&amp;$P372&amp;CHAR(10)&amp;CHAR(10),"")&amp;
IF($Q372&lt;&gt;"","Completion signals "&amp;CHAR(10)&amp;$Q372,"")</f>
        <v/>
      </c>
      <c r="S372" s="25"/>
      <c r="T372" s="25"/>
      <c r="U372" s="8"/>
      <c r="V372" s="8" t="str">
        <f>_xlfn.SINGLE(IF($B372 = "", "", IF(_xlfn.SINGLE(_xlfn.TEXTJOIN(" | ", TRUE, IF($B372 = "", "Missing Title", ""), IF($C372 = "", "Missing Date", ""), IF($D372 = "", "Missing Start", ""), IF($E372 = "", "Missing End", ""), IF($G372 = "", "Missing Required Attendees", ""), IF($T372 = "", "Missing Status", ""), IF(AND($D372 &lt;&gt; "", $E372 &lt;&gt; "", $D372 &gt;= $E372), "Start&gt;=End", ""), IF(OR($R372 = "", LEN($R372) &lt; 60, ISNUMBER(MATCH(TRIM($R372), StatusList, 0))), "Body overwritten/short", ""))) = "", "OK", _xlfn.TEXTJOIN(" | ", TRUE, IF($B372 = "", "Missing Title", ""), IF($C372 = "", "Missing Date", ""), IF($D372 = "", "Missing Start", ""), IF($E372 = "", "Missing End", ""), IF($G372 = "", "Missing Required Attendees", ""), IF($T372 = "", "Missing Status", ""), IF(AND($D372 &lt;&gt; "", $E372 &lt;&gt; "", $D372 &gt;= $E372), "Start&gt;=End", ""), IF(OR($R372 = "", LEN($R372) &lt; 60, ISNUMBER(MATCH(TRIM($R372), StatusList, 0))), "Body overwritten/short", "")))))</f>
        <v/>
      </c>
    </row>
    <row r="373" spans="2:22" ht="12.75" customHeight="1">
      <c r="B373" s="25"/>
      <c r="C373" s="34"/>
      <c r="D373" s="38"/>
      <c r="E373" s="38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16" t="str">
        <f>IF($L373&lt;&gt;"","Purpose "&amp;CHAR(10)&amp;$L373&amp;CHAR(10)&amp;CHAR(10),"")&amp;
IF($M373&lt;&gt;"","Stops (in order) "&amp;CHAR(10)&amp;$M373&amp;CHAR(10)&amp;CHAR(10),"")&amp;
IF($N373&lt;&gt;"","To-Do (hard requirements) "&amp;CHAR(10)&amp;$N373&amp;CHAR(10)&amp;CHAR(10),"")&amp;
IF($O373&lt;&gt;"","Suggested Timeline "&amp;CHAR(10)&amp;$O373&amp;CHAR(10)&amp;CHAR(10),"")&amp;
IF($P373&lt;&gt;"","Guardrails "&amp;CHAR(10)&amp;$P373&amp;CHAR(10)&amp;CHAR(10),"")&amp;
IF($Q373&lt;&gt;"","Completion signals "&amp;CHAR(10)&amp;$Q373,"")</f>
        <v/>
      </c>
      <c r="S373" s="25"/>
      <c r="T373" s="25"/>
      <c r="U373" s="8"/>
      <c r="V373" s="8" t="str">
        <f>_xlfn.SINGLE(IF($B373 = "", "", IF(_xlfn.SINGLE(_xlfn.TEXTJOIN(" | ", TRUE, IF($B373 = "", "Missing Title", ""), IF($C373 = "", "Missing Date", ""), IF($D373 = "", "Missing Start", ""), IF($E373 = "", "Missing End", ""), IF($G373 = "", "Missing Required Attendees", ""), IF($T373 = "", "Missing Status", ""), IF(AND($D373 &lt;&gt; "", $E373 &lt;&gt; "", $D373 &gt;= $E373), "Start&gt;=End", ""), IF(OR($R373 = "", LEN($R373) &lt; 60, ISNUMBER(MATCH(TRIM($R373), StatusList, 0))), "Body overwritten/short", ""))) = "", "OK", _xlfn.TEXTJOIN(" | ", TRUE, IF($B373 = "", "Missing Title", ""), IF($C373 = "", "Missing Date", ""), IF($D373 = "", "Missing Start", ""), IF($E373 = "", "Missing End", ""), IF($G373 = "", "Missing Required Attendees", ""), IF($T373 = "", "Missing Status", ""), IF(AND($D373 &lt;&gt; "", $E373 &lt;&gt; "", $D373 &gt;= $E373), "Start&gt;=End", ""), IF(OR($R373 = "", LEN($R373) &lt; 60, ISNUMBER(MATCH(TRIM($R373), StatusList, 0))), "Body overwritten/short", "")))))</f>
        <v/>
      </c>
    </row>
    <row r="374" spans="2:22" ht="12.75" customHeight="1">
      <c r="B374" s="25"/>
      <c r="C374" s="34"/>
      <c r="D374" s="38"/>
      <c r="E374" s="38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16" t="str">
        <f>IF($L374&lt;&gt;"","Purpose "&amp;CHAR(10)&amp;$L374&amp;CHAR(10)&amp;CHAR(10),"")&amp;
IF($M374&lt;&gt;"","Stops (in order) "&amp;CHAR(10)&amp;$M374&amp;CHAR(10)&amp;CHAR(10),"")&amp;
IF($N374&lt;&gt;"","To-Do (hard requirements) "&amp;CHAR(10)&amp;$N374&amp;CHAR(10)&amp;CHAR(10),"")&amp;
IF($O374&lt;&gt;"","Suggested Timeline "&amp;CHAR(10)&amp;$O374&amp;CHAR(10)&amp;CHAR(10),"")&amp;
IF($P374&lt;&gt;"","Guardrails "&amp;CHAR(10)&amp;$P374&amp;CHAR(10)&amp;CHAR(10),"")&amp;
IF($Q374&lt;&gt;"","Completion signals "&amp;CHAR(10)&amp;$Q374,"")</f>
        <v/>
      </c>
      <c r="S374" s="25"/>
      <c r="T374" s="25"/>
      <c r="U374" s="8"/>
      <c r="V374" s="8" t="str">
        <f>_xlfn.SINGLE(IF($B374 = "", "", IF(_xlfn.SINGLE(_xlfn.TEXTJOIN(" | ", TRUE, IF($B374 = "", "Missing Title", ""), IF($C374 = "", "Missing Date", ""), IF($D374 = "", "Missing Start", ""), IF($E374 = "", "Missing End", ""), IF($G374 = "", "Missing Required Attendees", ""), IF($T374 = "", "Missing Status", ""), IF(AND($D374 &lt;&gt; "", $E374 &lt;&gt; "", $D374 &gt;= $E374), "Start&gt;=End", ""), IF(OR($R374 = "", LEN($R374) &lt; 60, ISNUMBER(MATCH(TRIM($R374), StatusList, 0))), "Body overwritten/short", ""))) = "", "OK", _xlfn.TEXTJOIN(" | ", TRUE, IF($B374 = "", "Missing Title", ""), IF($C374 = "", "Missing Date", ""), IF($D374 = "", "Missing Start", ""), IF($E374 = "", "Missing End", ""), IF($G374 = "", "Missing Required Attendees", ""), IF($T374 = "", "Missing Status", ""), IF(AND($D374 &lt;&gt; "", $E374 &lt;&gt; "", $D374 &gt;= $E374), "Start&gt;=End", ""), IF(OR($R374 = "", LEN($R374) &lt; 60, ISNUMBER(MATCH(TRIM($R374), StatusList, 0))), "Body overwritten/short", "")))))</f>
        <v/>
      </c>
    </row>
    <row r="375" spans="2:22" ht="12.75" customHeight="1">
      <c r="B375" s="25"/>
      <c r="C375" s="34"/>
      <c r="D375" s="38"/>
      <c r="E375" s="38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16" t="str">
        <f>IF($L375&lt;&gt;"","Purpose "&amp;CHAR(10)&amp;$L375&amp;CHAR(10)&amp;CHAR(10),"")&amp;
IF($M375&lt;&gt;"","Stops (in order) "&amp;CHAR(10)&amp;$M375&amp;CHAR(10)&amp;CHAR(10),"")&amp;
IF($N375&lt;&gt;"","To-Do (hard requirements) "&amp;CHAR(10)&amp;$N375&amp;CHAR(10)&amp;CHAR(10),"")&amp;
IF($O375&lt;&gt;"","Suggested Timeline "&amp;CHAR(10)&amp;$O375&amp;CHAR(10)&amp;CHAR(10),"")&amp;
IF($P375&lt;&gt;"","Guardrails "&amp;CHAR(10)&amp;$P375&amp;CHAR(10)&amp;CHAR(10),"")&amp;
IF($Q375&lt;&gt;"","Completion signals "&amp;CHAR(10)&amp;$Q375,"")</f>
        <v/>
      </c>
      <c r="S375" s="25"/>
      <c r="T375" s="25"/>
      <c r="U375" s="8"/>
      <c r="V375" s="8" t="str">
        <f>_xlfn.SINGLE(IF($B375 = "", "", IF(_xlfn.SINGLE(_xlfn.TEXTJOIN(" | ", TRUE, IF($B375 = "", "Missing Title", ""), IF($C375 = "", "Missing Date", ""), IF($D375 = "", "Missing Start", ""), IF($E375 = "", "Missing End", ""), IF($G375 = "", "Missing Required Attendees", ""), IF($T375 = "", "Missing Status", ""), IF(AND($D375 &lt;&gt; "", $E375 &lt;&gt; "", $D375 &gt;= $E375), "Start&gt;=End", ""), IF(OR($R375 = "", LEN($R375) &lt; 60, ISNUMBER(MATCH(TRIM($R375), StatusList, 0))), "Body overwritten/short", ""))) = "", "OK", _xlfn.TEXTJOIN(" | ", TRUE, IF($B375 = "", "Missing Title", ""), IF($C375 = "", "Missing Date", ""), IF($D375 = "", "Missing Start", ""), IF($E375 = "", "Missing End", ""), IF($G375 = "", "Missing Required Attendees", ""), IF($T375 = "", "Missing Status", ""), IF(AND($D375 &lt;&gt; "", $E375 &lt;&gt; "", $D375 &gt;= $E375), "Start&gt;=End", ""), IF(OR($R375 = "", LEN($R375) &lt; 60, ISNUMBER(MATCH(TRIM($R375), StatusList, 0))), "Body overwritten/short", "")))))</f>
        <v/>
      </c>
    </row>
    <row r="376" spans="2:22" ht="12.75" customHeight="1">
      <c r="B376" s="25"/>
      <c r="C376" s="34"/>
      <c r="D376" s="38"/>
      <c r="E376" s="38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16" t="str">
        <f>IF($L376&lt;&gt;"","Purpose "&amp;CHAR(10)&amp;$L376&amp;CHAR(10)&amp;CHAR(10),"")&amp;
IF($M376&lt;&gt;"","Stops (in order) "&amp;CHAR(10)&amp;$M376&amp;CHAR(10)&amp;CHAR(10),"")&amp;
IF($N376&lt;&gt;"","To-Do (hard requirements) "&amp;CHAR(10)&amp;$N376&amp;CHAR(10)&amp;CHAR(10),"")&amp;
IF($O376&lt;&gt;"","Suggested Timeline "&amp;CHAR(10)&amp;$O376&amp;CHAR(10)&amp;CHAR(10),"")&amp;
IF($P376&lt;&gt;"","Guardrails "&amp;CHAR(10)&amp;$P376&amp;CHAR(10)&amp;CHAR(10),"")&amp;
IF($Q376&lt;&gt;"","Completion signals "&amp;CHAR(10)&amp;$Q376,"")</f>
        <v/>
      </c>
      <c r="S376" s="25"/>
      <c r="T376" s="25"/>
      <c r="U376" s="8"/>
      <c r="V376" s="8" t="str">
        <f>_xlfn.SINGLE(IF($B376 = "", "", IF(_xlfn.SINGLE(_xlfn.TEXTJOIN(" | ", TRUE, IF($B376 = "", "Missing Title", ""), IF($C376 = "", "Missing Date", ""), IF($D376 = "", "Missing Start", ""), IF($E376 = "", "Missing End", ""), IF($G376 = "", "Missing Required Attendees", ""), IF($T376 = "", "Missing Status", ""), IF(AND($D376 &lt;&gt; "", $E376 &lt;&gt; "", $D376 &gt;= $E376), "Start&gt;=End", ""), IF(OR($R376 = "", LEN($R376) &lt; 60, ISNUMBER(MATCH(TRIM($R376), StatusList, 0))), "Body overwritten/short", ""))) = "", "OK", _xlfn.TEXTJOIN(" | ", TRUE, IF($B376 = "", "Missing Title", ""), IF($C376 = "", "Missing Date", ""), IF($D376 = "", "Missing Start", ""), IF($E376 = "", "Missing End", ""), IF($G376 = "", "Missing Required Attendees", ""), IF($T376 = "", "Missing Status", ""), IF(AND($D376 &lt;&gt; "", $E376 &lt;&gt; "", $D376 &gt;= $E376), "Start&gt;=End", ""), IF(OR($R376 = "", LEN($R376) &lt; 60, ISNUMBER(MATCH(TRIM($R376), StatusList, 0))), "Body overwritten/short", "")))))</f>
        <v/>
      </c>
    </row>
    <row r="377" spans="2:22" ht="12.75" customHeight="1">
      <c r="B377" s="25"/>
      <c r="C377" s="34"/>
      <c r="D377" s="38"/>
      <c r="E377" s="38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16" t="str">
        <f>IF($L377&lt;&gt;"","Purpose "&amp;CHAR(10)&amp;$L377&amp;CHAR(10)&amp;CHAR(10),"")&amp;
IF($M377&lt;&gt;"","Stops (in order) "&amp;CHAR(10)&amp;$M377&amp;CHAR(10)&amp;CHAR(10),"")&amp;
IF($N377&lt;&gt;"","To-Do (hard requirements) "&amp;CHAR(10)&amp;$N377&amp;CHAR(10)&amp;CHAR(10),"")&amp;
IF($O377&lt;&gt;"","Suggested Timeline "&amp;CHAR(10)&amp;$O377&amp;CHAR(10)&amp;CHAR(10),"")&amp;
IF($P377&lt;&gt;"","Guardrails "&amp;CHAR(10)&amp;$P377&amp;CHAR(10)&amp;CHAR(10),"")&amp;
IF($Q377&lt;&gt;"","Completion signals "&amp;CHAR(10)&amp;$Q377,"")</f>
        <v/>
      </c>
      <c r="S377" s="25"/>
      <c r="T377" s="25"/>
      <c r="U377" s="8"/>
      <c r="V377" s="8" t="str">
        <f>_xlfn.SINGLE(IF($B377 = "", "", IF(_xlfn.SINGLE(_xlfn.TEXTJOIN(" | ", TRUE, IF($B377 = "", "Missing Title", ""), IF($C377 = "", "Missing Date", ""), IF($D377 = "", "Missing Start", ""), IF($E377 = "", "Missing End", ""), IF($G377 = "", "Missing Required Attendees", ""), IF($T377 = "", "Missing Status", ""), IF(AND($D377 &lt;&gt; "", $E377 &lt;&gt; "", $D377 &gt;= $E377), "Start&gt;=End", ""), IF(OR($R377 = "", LEN($R377) &lt; 60, ISNUMBER(MATCH(TRIM($R377), StatusList, 0))), "Body overwritten/short", ""))) = "", "OK", _xlfn.TEXTJOIN(" | ", TRUE, IF($B377 = "", "Missing Title", ""), IF($C377 = "", "Missing Date", ""), IF($D377 = "", "Missing Start", ""), IF($E377 = "", "Missing End", ""), IF($G377 = "", "Missing Required Attendees", ""), IF($T377 = "", "Missing Status", ""), IF(AND($D377 &lt;&gt; "", $E377 &lt;&gt; "", $D377 &gt;= $E377), "Start&gt;=End", ""), IF(OR($R377 = "", LEN($R377) &lt; 60, ISNUMBER(MATCH(TRIM($R377), StatusList, 0))), "Body overwritten/short", "")))))</f>
        <v/>
      </c>
    </row>
    <row r="378" spans="2:22" ht="12.75" customHeight="1">
      <c r="B378" s="25"/>
      <c r="C378" s="34"/>
      <c r="D378" s="38"/>
      <c r="E378" s="38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16" t="str">
        <f>IF($L378&lt;&gt;"","Purpose "&amp;CHAR(10)&amp;$L378&amp;CHAR(10)&amp;CHAR(10),"")&amp;
IF($M378&lt;&gt;"","Stops (in order) "&amp;CHAR(10)&amp;$M378&amp;CHAR(10)&amp;CHAR(10),"")&amp;
IF($N378&lt;&gt;"","To-Do (hard requirements) "&amp;CHAR(10)&amp;$N378&amp;CHAR(10)&amp;CHAR(10),"")&amp;
IF($O378&lt;&gt;"","Suggested Timeline "&amp;CHAR(10)&amp;$O378&amp;CHAR(10)&amp;CHAR(10),"")&amp;
IF($P378&lt;&gt;"","Guardrails "&amp;CHAR(10)&amp;$P378&amp;CHAR(10)&amp;CHAR(10),"")&amp;
IF($Q378&lt;&gt;"","Completion signals "&amp;CHAR(10)&amp;$Q378,"")</f>
        <v/>
      </c>
      <c r="S378" s="25"/>
      <c r="T378" s="25"/>
      <c r="U378" s="8"/>
      <c r="V378" s="8" t="str">
        <f>_xlfn.SINGLE(IF($B378 = "", "", IF(_xlfn.SINGLE(_xlfn.TEXTJOIN(" | ", TRUE, IF($B378 = "", "Missing Title", ""), IF($C378 = "", "Missing Date", ""), IF($D378 = "", "Missing Start", ""), IF($E378 = "", "Missing End", ""), IF($G378 = "", "Missing Required Attendees", ""), IF($T378 = "", "Missing Status", ""), IF(AND($D378 &lt;&gt; "", $E378 &lt;&gt; "", $D378 &gt;= $E378), "Start&gt;=End", ""), IF(OR($R378 = "", LEN($R378) &lt; 60, ISNUMBER(MATCH(TRIM($R378), StatusList, 0))), "Body overwritten/short", ""))) = "", "OK", _xlfn.TEXTJOIN(" | ", TRUE, IF($B378 = "", "Missing Title", ""), IF($C378 = "", "Missing Date", ""), IF($D378 = "", "Missing Start", ""), IF($E378 = "", "Missing End", ""), IF($G378 = "", "Missing Required Attendees", ""), IF($T378 = "", "Missing Status", ""), IF(AND($D378 &lt;&gt; "", $E378 &lt;&gt; "", $D378 &gt;= $E378), "Start&gt;=End", ""), IF(OR($R378 = "", LEN($R378) &lt; 60, ISNUMBER(MATCH(TRIM($R378), StatusList, 0))), "Body overwritten/short", "")))))</f>
        <v/>
      </c>
    </row>
    <row r="379" spans="2:22" ht="12.75" customHeight="1">
      <c r="B379" s="25"/>
      <c r="C379" s="34"/>
      <c r="D379" s="38"/>
      <c r="E379" s="38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16" t="str">
        <f>IF($L379&lt;&gt;"","Purpose "&amp;CHAR(10)&amp;$L379&amp;CHAR(10)&amp;CHAR(10),"")&amp;
IF($M379&lt;&gt;"","Stops (in order) "&amp;CHAR(10)&amp;$M379&amp;CHAR(10)&amp;CHAR(10),"")&amp;
IF($N379&lt;&gt;"","To-Do (hard requirements) "&amp;CHAR(10)&amp;$N379&amp;CHAR(10)&amp;CHAR(10),"")&amp;
IF($O379&lt;&gt;"","Suggested Timeline "&amp;CHAR(10)&amp;$O379&amp;CHAR(10)&amp;CHAR(10),"")&amp;
IF($P379&lt;&gt;"","Guardrails "&amp;CHAR(10)&amp;$P379&amp;CHAR(10)&amp;CHAR(10),"")&amp;
IF($Q379&lt;&gt;"","Completion signals "&amp;CHAR(10)&amp;$Q379,"")</f>
        <v/>
      </c>
      <c r="S379" s="25"/>
      <c r="T379" s="25"/>
      <c r="U379" s="8"/>
      <c r="V379" s="8" t="str">
        <f>_xlfn.SINGLE(IF($B379 = "", "", IF(_xlfn.SINGLE(_xlfn.TEXTJOIN(" | ", TRUE, IF($B379 = "", "Missing Title", ""), IF($C379 = "", "Missing Date", ""), IF($D379 = "", "Missing Start", ""), IF($E379 = "", "Missing End", ""), IF($G379 = "", "Missing Required Attendees", ""), IF($T379 = "", "Missing Status", ""), IF(AND($D379 &lt;&gt; "", $E379 &lt;&gt; "", $D379 &gt;= $E379), "Start&gt;=End", ""), IF(OR($R379 = "", LEN($R379) &lt; 60, ISNUMBER(MATCH(TRIM($R379), StatusList, 0))), "Body overwritten/short", ""))) = "", "OK", _xlfn.TEXTJOIN(" | ", TRUE, IF($B379 = "", "Missing Title", ""), IF($C379 = "", "Missing Date", ""), IF($D379 = "", "Missing Start", ""), IF($E379 = "", "Missing End", ""), IF($G379 = "", "Missing Required Attendees", ""), IF($T379 = "", "Missing Status", ""), IF(AND($D379 &lt;&gt; "", $E379 &lt;&gt; "", $D379 &gt;= $E379), "Start&gt;=End", ""), IF(OR($R379 = "", LEN($R379) &lt; 60, ISNUMBER(MATCH(TRIM($R379), StatusList, 0))), "Body overwritten/short", "")))))</f>
        <v/>
      </c>
    </row>
    <row r="380" spans="2:22" ht="12.75" customHeight="1">
      <c r="B380" s="25"/>
      <c r="C380" s="34"/>
      <c r="D380" s="38"/>
      <c r="E380" s="38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16" t="str">
        <f>IF($L380&lt;&gt;"","Purpose "&amp;CHAR(10)&amp;$L380&amp;CHAR(10)&amp;CHAR(10),"")&amp;
IF($M380&lt;&gt;"","Stops (in order) "&amp;CHAR(10)&amp;$M380&amp;CHAR(10)&amp;CHAR(10),"")&amp;
IF($N380&lt;&gt;"","To-Do (hard requirements) "&amp;CHAR(10)&amp;$N380&amp;CHAR(10)&amp;CHAR(10),"")&amp;
IF($O380&lt;&gt;"","Suggested Timeline "&amp;CHAR(10)&amp;$O380&amp;CHAR(10)&amp;CHAR(10),"")&amp;
IF($P380&lt;&gt;"","Guardrails "&amp;CHAR(10)&amp;$P380&amp;CHAR(10)&amp;CHAR(10),"")&amp;
IF($Q380&lt;&gt;"","Completion signals "&amp;CHAR(10)&amp;$Q380,"")</f>
        <v/>
      </c>
      <c r="S380" s="25"/>
      <c r="T380" s="25"/>
      <c r="U380" s="8"/>
      <c r="V380" s="8" t="str">
        <f>_xlfn.SINGLE(IF($B380 = "", "", IF(_xlfn.SINGLE(_xlfn.TEXTJOIN(" | ", TRUE, IF($B380 = "", "Missing Title", ""), IF($C380 = "", "Missing Date", ""), IF($D380 = "", "Missing Start", ""), IF($E380 = "", "Missing End", ""), IF($G380 = "", "Missing Required Attendees", ""), IF($T380 = "", "Missing Status", ""), IF(AND($D380 &lt;&gt; "", $E380 &lt;&gt; "", $D380 &gt;= $E380), "Start&gt;=End", ""), IF(OR($R380 = "", LEN($R380) &lt; 60, ISNUMBER(MATCH(TRIM($R380), StatusList, 0))), "Body overwritten/short", ""))) = "", "OK", _xlfn.TEXTJOIN(" | ", TRUE, IF($B380 = "", "Missing Title", ""), IF($C380 = "", "Missing Date", ""), IF($D380 = "", "Missing Start", ""), IF($E380 = "", "Missing End", ""), IF($G380 = "", "Missing Required Attendees", ""), IF($T380 = "", "Missing Status", ""), IF(AND($D380 &lt;&gt; "", $E380 &lt;&gt; "", $D380 &gt;= $E380), "Start&gt;=End", ""), IF(OR($R380 = "", LEN($R380) &lt; 60, ISNUMBER(MATCH(TRIM($R380), StatusList, 0))), "Body overwritten/short", "")))))</f>
        <v/>
      </c>
    </row>
    <row r="381" spans="2:22" ht="12.75" customHeight="1">
      <c r="B381" s="25"/>
      <c r="C381" s="34"/>
      <c r="D381" s="38"/>
      <c r="E381" s="38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16" t="str">
        <f>IF($L381&lt;&gt;"","Purpose "&amp;CHAR(10)&amp;$L381&amp;CHAR(10)&amp;CHAR(10),"")&amp;
IF($M381&lt;&gt;"","Stops (in order) "&amp;CHAR(10)&amp;$M381&amp;CHAR(10)&amp;CHAR(10),"")&amp;
IF($N381&lt;&gt;"","To-Do (hard requirements) "&amp;CHAR(10)&amp;$N381&amp;CHAR(10)&amp;CHAR(10),"")&amp;
IF($O381&lt;&gt;"","Suggested Timeline "&amp;CHAR(10)&amp;$O381&amp;CHAR(10)&amp;CHAR(10),"")&amp;
IF($P381&lt;&gt;"","Guardrails "&amp;CHAR(10)&amp;$P381&amp;CHAR(10)&amp;CHAR(10),"")&amp;
IF($Q381&lt;&gt;"","Completion signals "&amp;CHAR(10)&amp;$Q381,"")</f>
        <v/>
      </c>
      <c r="S381" s="25"/>
      <c r="T381" s="25"/>
      <c r="U381" s="8"/>
      <c r="V381" s="8" t="str">
        <f>_xlfn.SINGLE(IF($B381 = "", "", IF(_xlfn.SINGLE(_xlfn.TEXTJOIN(" | ", TRUE, IF($B381 = "", "Missing Title", ""), IF($C381 = "", "Missing Date", ""), IF($D381 = "", "Missing Start", ""), IF($E381 = "", "Missing End", ""), IF($G381 = "", "Missing Required Attendees", ""), IF($T381 = "", "Missing Status", ""), IF(AND($D381 &lt;&gt; "", $E381 &lt;&gt; "", $D381 &gt;= $E381), "Start&gt;=End", ""), IF(OR($R381 = "", LEN($R381) &lt; 60, ISNUMBER(MATCH(TRIM($R381), StatusList, 0))), "Body overwritten/short", ""))) = "", "OK", _xlfn.TEXTJOIN(" | ", TRUE, IF($B381 = "", "Missing Title", ""), IF($C381 = "", "Missing Date", ""), IF($D381 = "", "Missing Start", ""), IF($E381 = "", "Missing End", ""), IF($G381 = "", "Missing Required Attendees", ""), IF($T381 = "", "Missing Status", ""), IF(AND($D381 &lt;&gt; "", $E381 &lt;&gt; "", $D381 &gt;= $E381), "Start&gt;=End", ""), IF(OR($R381 = "", LEN($R381) &lt; 60, ISNUMBER(MATCH(TRIM($R381), StatusList, 0))), "Body overwritten/short", "")))))</f>
        <v/>
      </c>
    </row>
    <row r="382" spans="2:22" ht="12.75" customHeight="1">
      <c r="B382" s="25"/>
      <c r="C382" s="34"/>
      <c r="D382" s="38"/>
      <c r="E382" s="38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16" t="str">
        <f>IF($L382&lt;&gt;"","Purpose "&amp;CHAR(10)&amp;$L382&amp;CHAR(10)&amp;CHAR(10),"")&amp;
IF($M382&lt;&gt;"","Stops (in order) "&amp;CHAR(10)&amp;$M382&amp;CHAR(10)&amp;CHAR(10),"")&amp;
IF($N382&lt;&gt;"","To-Do (hard requirements) "&amp;CHAR(10)&amp;$N382&amp;CHAR(10)&amp;CHAR(10),"")&amp;
IF($O382&lt;&gt;"","Suggested Timeline "&amp;CHAR(10)&amp;$O382&amp;CHAR(10)&amp;CHAR(10),"")&amp;
IF($P382&lt;&gt;"","Guardrails "&amp;CHAR(10)&amp;$P382&amp;CHAR(10)&amp;CHAR(10),"")&amp;
IF($Q382&lt;&gt;"","Completion signals "&amp;CHAR(10)&amp;$Q382,"")</f>
        <v/>
      </c>
      <c r="S382" s="25"/>
      <c r="T382" s="25"/>
      <c r="U382" s="8"/>
      <c r="V382" s="8" t="str">
        <f>_xlfn.SINGLE(IF($B382 = "", "", IF(_xlfn.SINGLE(_xlfn.TEXTJOIN(" | ", TRUE, IF($B382 = "", "Missing Title", ""), IF($C382 = "", "Missing Date", ""), IF($D382 = "", "Missing Start", ""), IF($E382 = "", "Missing End", ""), IF($G382 = "", "Missing Required Attendees", ""), IF($T382 = "", "Missing Status", ""), IF(AND($D382 &lt;&gt; "", $E382 &lt;&gt; "", $D382 &gt;= $E382), "Start&gt;=End", ""), IF(OR($R382 = "", LEN($R382) &lt; 60, ISNUMBER(MATCH(TRIM($R382), StatusList, 0))), "Body overwritten/short", ""))) = "", "OK", _xlfn.TEXTJOIN(" | ", TRUE, IF($B382 = "", "Missing Title", ""), IF($C382 = "", "Missing Date", ""), IF($D382 = "", "Missing Start", ""), IF($E382 = "", "Missing End", ""), IF($G382 = "", "Missing Required Attendees", ""), IF($T382 = "", "Missing Status", ""), IF(AND($D382 &lt;&gt; "", $E382 &lt;&gt; "", $D382 &gt;= $E382), "Start&gt;=End", ""), IF(OR($R382 = "", LEN($R382) &lt; 60, ISNUMBER(MATCH(TRIM($R382), StatusList, 0))), "Body overwritten/short", "")))))</f>
        <v/>
      </c>
    </row>
    <row r="383" spans="2:22" ht="12.75" customHeight="1">
      <c r="B383" s="25"/>
      <c r="C383" s="34"/>
      <c r="D383" s="38"/>
      <c r="E383" s="38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16" t="str">
        <f>IF($L383&lt;&gt;"","Purpose "&amp;CHAR(10)&amp;$L383&amp;CHAR(10)&amp;CHAR(10),"")&amp;
IF($M383&lt;&gt;"","Stops (in order) "&amp;CHAR(10)&amp;$M383&amp;CHAR(10)&amp;CHAR(10),"")&amp;
IF($N383&lt;&gt;"","To-Do (hard requirements) "&amp;CHAR(10)&amp;$N383&amp;CHAR(10)&amp;CHAR(10),"")&amp;
IF($O383&lt;&gt;"","Suggested Timeline "&amp;CHAR(10)&amp;$O383&amp;CHAR(10)&amp;CHAR(10),"")&amp;
IF($P383&lt;&gt;"","Guardrails "&amp;CHAR(10)&amp;$P383&amp;CHAR(10)&amp;CHAR(10),"")&amp;
IF($Q383&lt;&gt;"","Completion signals "&amp;CHAR(10)&amp;$Q383,"")</f>
        <v/>
      </c>
      <c r="S383" s="25"/>
      <c r="T383" s="25"/>
      <c r="U383" s="8"/>
      <c r="V383" s="8" t="str">
        <f>_xlfn.SINGLE(IF($B383 = "", "", IF(_xlfn.SINGLE(_xlfn.TEXTJOIN(" | ", TRUE, IF($B383 = "", "Missing Title", ""), IF($C383 = "", "Missing Date", ""), IF($D383 = "", "Missing Start", ""), IF($E383 = "", "Missing End", ""), IF($G383 = "", "Missing Required Attendees", ""), IF($T383 = "", "Missing Status", ""), IF(AND($D383 &lt;&gt; "", $E383 &lt;&gt; "", $D383 &gt;= $E383), "Start&gt;=End", ""), IF(OR($R383 = "", LEN($R383) &lt; 60, ISNUMBER(MATCH(TRIM($R383), StatusList, 0))), "Body overwritten/short", ""))) = "", "OK", _xlfn.TEXTJOIN(" | ", TRUE, IF($B383 = "", "Missing Title", ""), IF($C383 = "", "Missing Date", ""), IF($D383 = "", "Missing Start", ""), IF($E383 = "", "Missing End", ""), IF($G383 = "", "Missing Required Attendees", ""), IF($T383 = "", "Missing Status", ""), IF(AND($D383 &lt;&gt; "", $E383 &lt;&gt; "", $D383 &gt;= $E383), "Start&gt;=End", ""), IF(OR($R383 = "", LEN($R383) &lt; 60, ISNUMBER(MATCH(TRIM($R383), StatusList, 0))), "Body overwritten/short", "")))))</f>
        <v/>
      </c>
    </row>
    <row r="384" spans="2:22" ht="12.75" customHeight="1">
      <c r="B384" s="25"/>
      <c r="C384" s="34"/>
      <c r="D384" s="38"/>
      <c r="E384" s="38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16" t="str">
        <f>IF($L384&lt;&gt;"","Purpose "&amp;CHAR(10)&amp;$L384&amp;CHAR(10)&amp;CHAR(10),"")&amp;
IF($M384&lt;&gt;"","Stops (in order) "&amp;CHAR(10)&amp;$M384&amp;CHAR(10)&amp;CHAR(10),"")&amp;
IF($N384&lt;&gt;"","To-Do (hard requirements) "&amp;CHAR(10)&amp;$N384&amp;CHAR(10)&amp;CHAR(10),"")&amp;
IF($O384&lt;&gt;"","Suggested Timeline "&amp;CHAR(10)&amp;$O384&amp;CHAR(10)&amp;CHAR(10),"")&amp;
IF($P384&lt;&gt;"","Guardrails "&amp;CHAR(10)&amp;$P384&amp;CHAR(10)&amp;CHAR(10),"")&amp;
IF($Q384&lt;&gt;"","Completion signals "&amp;CHAR(10)&amp;$Q384,"")</f>
        <v/>
      </c>
      <c r="S384" s="25"/>
      <c r="T384" s="25"/>
      <c r="U384" s="8"/>
      <c r="V384" s="8" t="str">
        <f>_xlfn.SINGLE(IF($B384 = "", "", IF(_xlfn.SINGLE(_xlfn.TEXTJOIN(" | ", TRUE, IF($B384 = "", "Missing Title", ""), IF($C384 = "", "Missing Date", ""), IF($D384 = "", "Missing Start", ""), IF($E384 = "", "Missing End", ""), IF($G384 = "", "Missing Required Attendees", ""), IF($T384 = "", "Missing Status", ""), IF(AND($D384 &lt;&gt; "", $E384 &lt;&gt; "", $D384 &gt;= $E384), "Start&gt;=End", ""), IF(OR($R384 = "", LEN($R384) &lt; 60, ISNUMBER(MATCH(TRIM($R384), StatusList, 0))), "Body overwritten/short", ""))) = "", "OK", _xlfn.TEXTJOIN(" | ", TRUE, IF($B384 = "", "Missing Title", ""), IF($C384 = "", "Missing Date", ""), IF($D384 = "", "Missing Start", ""), IF($E384 = "", "Missing End", ""), IF($G384 = "", "Missing Required Attendees", ""), IF($T384 = "", "Missing Status", ""), IF(AND($D384 &lt;&gt; "", $E384 &lt;&gt; "", $D384 &gt;= $E384), "Start&gt;=End", ""), IF(OR($R384 = "", LEN($R384) &lt; 60, ISNUMBER(MATCH(TRIM($R384), StatusList, 0))), "Body overwritten/short", "")))))</f>
        <v/>
      </c>
    </row>
    <row r="385" spans="2:22" ht="12.75" customHeight="1">
      <c r="B385" s="25"/>
      <c r="C385" s="34"/>
      <c r="D385" s="38"/>
      <c r="E385" s="38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16" t="str">
        <f>IF($L385&lt;&gt;"","Purpose "&amp;CHAR(10)&amp;$L385&amp;CHAR(10)&amp;CHAR(10),"")&amp;
IF($M385&lt;&gt;"","Stops (in order) "&amp;CHAR(10)&amp;$M385&amp;CHAR(10)&amp;CHAR(10),"")&amp;
IF($N385&lt;&gt;"","To-Do (hard requirements) "&amp;CHAR(10)&amp;$N385&amp;CHAR(10)&amp;CHAR(10),"")&amp;
IF($O385&lt;&gt;"","Suggested Timeline "&amp;CHAR(10)&amp;$O385&amp;CHAR(10)&amp;CHAR(10),"")&amp;
IF($P385&lt;&gt;"","Guardrails "&amp;CHAR(10)&amp;$P385&amp;CHAR(10)&amp;CHAR(10),"")&amp;
IF($Q385&lt;&gt;"","Completion signals "&amp;CHAR(10)&amp;$Q385,"")</f>
        <v/>
      </c>
      <c r="S385" s="25"/>
      <c r="T385" s="25"/>
      <c r="U385" s="8"/>
      <c r="V385" s="8" t="str">
        <f>_xlfn.SINGLE(IF($B385 = "", "", IF(_xlfn.SINGLE(_xlfn.TEXTJOIN(" | ", TRUE, IF($B385 = "", "Missing Title", ""), IF($C385 = "", "Missing Date", ""), IF($D385 = "", "Missing Start", ""), IF($E385 = "", "Missing End", ""), IF($G385 = "", "Missing Required Attendees", ""), IF($T385 = "", "Missing Status", ""), IF(AND($D385 &lt;&gt; "", $E385 &lt;&gt; "", $D385 &gt;= $E385), "Start&gt;=End", ""), IF(OR($R385 = "", LEN($R385) &lt; 60, ISNUMBER(MATCH(TRIM($R385), StatusList, 0))), "Body overwritten/short", ""))) = "", "OK", _xlfn.TEXTJOIN(" | ", TRUE, IF($B385 = "", "Missing Title", ""), IF($C385 = "", "Missing Date", ""), IF($D385 = "", "Missing Start", ""), IF($E385 = "", "Missing End", ""), IF($G385 = "", "Missing Required Attendees", ""), IF($T385 = "", "Missing Status", ""), IF(AND($D385 &lt;&gt; "", $E385 &lt;&gt; "", $D385 &gt;= $E385), "Start&gt;=End", ""), IF(OR($R385 = "", LEN($R385) &lt; 60, ISNUMBER(MATCH(TRIM($R385), StatusList, 0))), "Body overwritten/short", "")))))</f>
        <v/>
      </c>
    </row>
    <row r="386" spans="2:22" ht="12.75" customHeight="1">
      <c r="B386" s="25"/>
      <c r="C386" s="34"/>
      <c r="D386" s="38"/>
      <c r="E386" s="38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16" t="str">
        <f>IF($L386&lt;&gt;"","Purpose "&amp;CHAR(10)&amp;$L386&amp;CHAR(10)&amp;CHAR(10),"")&amp;
IF($M386&lt;&gt;"","Stops (in order) "&amp;CHAR(10)&amp;$M386&amp;CHAR(10)&amp;CHAR(10),"")&amp;
IF($N386&lt;&gt;"","To-Do (hard requirements) "&amp;CHAR(10)&amp;$N386&amp;CHAR(10)&amp;CHAR(10),"")&amp;
IF($O386&lt;&gt;"","Suggested Timeline "&amp;CHAR(10)&amp;$O386&amp;CHAR(10)&amp;CHAR(10),"")&amp;
IF($P386&lt;&gt;"","Guardrails "&amp;CHAR(10)&amp;$P386&amp;CHAR(10)&amp;CHAR(10),"")&amp;
IF($Q386&lt;&gt;"","Completion signals "&amp;CHAR(10)&amp;$Q386,"")</f>
        <v/>
      </c>
      <c r="S386" s="25"/>
      <c r="T386" s="25"/>
      <c r="U386" s="8"/>
      <c r="V386" s="8" t="str">
        <f>_xlfn.SINGLE(IF($B386 = "", "", IF(_xlfn.SINGLE(_xlfn.TEXTJOIN(" | ", TRUE, IF($B386 = "", "Missing Title", ""), IF($C386 = "", "Missing Date", ""), IF($D386 = "", "Missing Start", ""), IF($E386 = "", "Missing End", ""), IF($G386 = "", "Missing Required Attendees", ""), IF($T386 = "", "Missing Status", ""), IF(AND($D386 &lt;&gt; "", $E386 &lt;&gt; "", $D386 &gt;= $E386), "Start&gt;=End", ""), IF(OR($R386 = "", LEN($R386) &lt; 60, ISNUMBER(MATCH(TRIM($R386), StatusList, 0))), "Body overwritten/short", ""))) = "", "OK", _xlfn.TEXTJOIN(" | ", TRUE, IF($B386 = "", "Missing Title", ""), IF($C386 = "", "Missing Date", ""), IF($D386 = "", "Missing Start", ""), IF($E386 = "", "Missing End", ""), IF($G386 = "", "Missing Required Attendees", ""), IF($T386 = "", "Missing Status", ""), IF(AND($D386 &lt;&gt; "", $E386 &lt;&gt; "", $D386 &gt;= $E386), "Start&gt;=End", ""), IF(OR($R386 = "", LEN($R386) &lt; 60, ISNUMBER(MATCH(TRIM($R386), StatusList, 0))), "Body overwritten/short", "")))))</f>
        <v/>
      </c>
    </row>
    <row r="387" spans="2:22" ht="12.75" customHeight="1">
      <c r="B387" s="25"/>
      <c r="C387" s="34"/>
      <c r="D387" s="38"/>
      <c r="E387" s="38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16" t="str">
        <f>IF($L387&lt;&gt;"","Purpose "&amp;CHAR(10)&amp;$L387&amp;CHAR(10)&amp;CHAR(10),"")&amp;
IF($M387&lt;&gt;"","Stops (in order) "&amp;CHAR(10)&amp;$M387&amp;CHAR(10)&amp;CHAR(10),"")&amp;
IF($N387&lt;&gt;"","To-Do (hard requirements) "&amp;CHAR(10)&amp;$N387&amp;CHAR(10)&amp;CHAR(10),"")&amp;
IF($O387&lt;&gt;"","Suggested Timeline "&amp;CHAR(10)&amp;$O387&amp;CHAR(10)&amp;CHAR(10),"")&amp;
IF($P387&lt;&gt;"","Guardrails "&amp;CHAR(10)&amp;$P387&amp;CHAR(10)&amp;CHAR(10),"")&amp;
IF($Q387&lt;&gt;"","Completion signals "&amp;CHAR(10)&amp;$Q387,"")</f>
        <v/>
      </c>
      <c r="S387" s="25"/>
      <c r="T387" s="25"/>
      <c r="U387" s="8"/>
      <c r="V387" s="8" t="str">
        <f>_xlfn.SINGLE(IF($B387 = "", "", IF(_xlfn.SINGLE(_xlfn.TEXTJOIN(" | ", TRUE, IF($B387 = "", "Missing Title", ""), IF($C387 = "", "Missing Date", ""), IF($D387 = "", "Missing Start", ""), IF($E387 = "", "Missing End", ""), IF($G387 = "", "Missing Required Attendees", ""), IF($T387 = "", "Missing Status", ""), IF(AND($D387 &lt;&gt; "", $E387 &lt;&gt; "", $D387 &gt;= $E387), "Start&gt;=End", ""), IF(OR($R387 = "", LEN($R387) &lt; 60, ISNUMBER(MATCH(TRIM($R387), StatusList, 0))), "Body overwritten/short", ""))) = "", "OK", _xlfn.TEXTJOIN(" | ", TRUE, IF($B387 = "", "Missing Title", ""), IF($C387 = "", "Missing Date", ""), IF($D387 = "", "Missing Start", ""), IF($E387 = "", "Missing End", ""), IF($G387 = "", "Missing Required Attendees", ""), IF($T387 = "", "Missing Status", ""), IF(AND($D387 &lt;&gt; "", $E387 &lt;&gt; "", $D387 &gt;= $E387), "Start&gt;=End", ""), IF(OR($R387 = "", LEN($R387) &lt; 60, ISNUMBER(MATCH(TRIM($R387), StatusList, 0))), "Body overwritten/short", "")))))</f>
        <v/>
      </c>
    </row>
    <row r="388" spans="2:22" ht="12.75" customHeight="1">
      <c r="B388" s="25"/>
      <c r="C388" s="34"/>
      <c r="D388" s="38"/>
      <c r="E388" s="38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16" t="str">
        <f>IF($L388&lt;&gt;"","Purpose "&amp;CHAR(10)&amp;$L388&amp;CHAR(10)&amp;CHAR(10),"")&amp;
IF($M388&lt;&gt;"","Stops (in order) "&amp;CHAR(10)&amp;$M388&amp;CHAR(10)&amp;CHAR(10),"")&amp;
IF($N388&lt;&gt;"","To-Do (hard requirements) "&amp;CHAR(10)&amp;$N388&amp;CHAR(10)&amp;CHAR(10),"")&amp;
IF($O388&lt;&gt;"","Suggested Timeline "&amp;CHAR(10)&amp;$O388&amp;CHAR(10)&amp;CHAR(10),"")&amp;
IF($P388&lt;&gt;"","Guardrails "&amp;CHAR(10)&amp;$P388&amp;CHAR(10)&amp;CHAR(10),"")&amp;
IF($Q388&lt;&gt;"","Completion signals "&amp;CHAR(10)&amp;$Q388,"")</f>
        <v/>
      </c>
      <c r="S388" s="25"/>
      <c r="T388" s="25"/>
      <c r="U388" s="8"/>
      <c r="V388" s="8" t="str">
        <f>_xlfn.SINGLE(IF($B388 = "", "", IF(_xlfn.SINGLE(_xlfn.TEXTJOIN(" | ", TRUE, IF($B388 = "", "Missing Title", ""), IF($C388 = "", "Missing Date", ""), IF($D388 = "", "Missing Start", ""), IF($E388 = "", "Missing End", ""), IF($G388 = "", "Missing Required Attendees", ""), IF($T388 = "", "Missing Status", ""), IF(AND($D388 &lt;&gt; "", $E388 &lt;&gt; "", $D388 &gt;= $E388), "Start&gt;=End", ""), IF(OR($R388 = "", LEN($R388) &lt; 60, ISNUMBER(MATCH(TRIM($R388), StatusList, 0))), "Body overwritten/short", ""))) = "", "OK", _xlfn.TEXTJOIN(" | ", TRUE, IF($B388 = "", "Missing Title", ""), IF($C388 = "", "Missing Date", ""), IF($D388 = "", "Missing Start", ""), IF($E388 = "", "Missing End", ""), IF($G388 = "", "Missing Required Attendees", ""), IF($T388 = "", "Missing Status", ""), IF(AND($D388 &lt;&gt; "", $E388 &lt;&gt; "", $D388 &gt;= $E388), "Start&gt;=End", ""), IF(OR($R388 = "", LEN($R388) &lt; 60, ISNUMBER(MATCH(TRIM($R388), StatusList, 0))), "Body overwritten/short", "")))))</f>
        <v/>
      </c>
    </row>
    <row r="389" spans="2:22" ht="12.75" customHeight="1">
      <c r="B389" s="25"/>
      <c r="C389" s="34"/>
      <c r="D389" s="38"/>
      <c r="E389" s="38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16" t="str">
        <f>IF($L389&lt;&gt;"","Purpose "&amp;CHAR(10)&amp;$L389&amp;CHAR(10)&amp;CHAR(10),"")&amp;
IF($M389&lt;&gt;"","Stops (in order) "&amp;CHAR(10)&amp;$M389&amp;CHAR(10)&amp;CHAR(10),"")&amp;
IF($N389&lt;&gt;"","To-Do (hard requirements) "&amp;CHAR(10)&amp;$N389&amp;CHAR(10)&amp;CHAR(10),"")&amp;
IF($O389&lt;&gt;"","Suggested Timeline "&amp;CHAR(10)&amp;$O389&amp;CHAR(10)&amp;CHAR(10),"")&amp;
IF($P389&lt;&gt;"","Guardrails "&amp;CHAR(10)&amp;$P389&amp;CHAR(10)&amp;CHAR(10),"")&amp;
IF($Q389&lt;&gt;"","Completion signals "&amp;CHAR(10)&amp;$Q389,"")</f>
        <v/>
      </c>
      <c r="S389" s="25"/>
      <c r="T389" s="25"/>
      <c r="U389" s="8"/>
      <c r="V389" s="8" t="str">
        <f>_xlfn.SINGLE(IF($B389 = "", "", IF(_xlfn.SINGLE(_xlfn.TEXTJOIN(" | ", TRUE, IF($B389 = "", "Missing Title", ""), IF($C389 = "", "Missing Date", ""), IF($D389 = "", "Missing Start", ""), IF($E389 = "", "Missing End", ""), IF($G389 = "", "Missing Required Attendees", ""), IF($T389 = "", "Missing Status", ""), IF(AND($D389 &lt;&gt; "", $E389 &lt;&gt; "", $D389 &gt;= $E389), "Start&gt;=End", ""), IF(OR($R389 = "", LEN($R389) &lt; 60, ISNUMBER(MATCH(TRIM($R389), StatusList, 0))), "Body overwritten/short", ""))) = "", "OK", _xlfn.TEXTJOIN(" | ", TRUE, IF($B389 = "", "Missing Title", ""), IF($C389 = "", "Missing Date", ""), IF($D389 = "", "Missing Start", ""), IF($E389 = "", "Missing End", ""), IF($G389 = "", "Missing Required Attendees", ""), IF($T389 = "", "Missing Status", ""), IF(AND($D389 &lt;&gt; "", $E389 &lt;&gt; "", $D389 &gt;= $E389), "Start&gt;=End", ""), IF(OR($R389 = "", LEN($R389) &lt; 60, ISNUMBER(MATCH(TRIM($R389), StatusList, 0))), "Body overwritten/short", "")))))</f>
        <v/>
      </c>
    </row>
    <row r="390" spans="2:22" ht="12.75" customHeight="1">
      <c r="B390" s="25"/>
      <c r="C390" s="34"/>
      <c r="D390" s="38"/>
      <c r="E390" s="38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16" t="str">
        <f>IF($L390&lt;&gt;"","Purpose "&amp;CHAR(10)&amp;$L390&amp;CHAR(10)&amp;CHAR(10),"")&amp;
IF($M390&lt;&gt;"","Stops (in order) "&amp;CHAR(10)&amp;$M390&amp;CHAR(10)&amp;CHAR(10),"")&amp;
IF($N390&lt;&gt;"","To-Do (hard requirements) "&amp;CHAR(10)&amp;$N390&amp;CHAR(10)&amp;CHAR(10),"")&amp;
IF($O390&lt;&gt;"","Suggested Timeline "&amp;CHAR(10)&amp;$O390&amp;CHAR(10)&amp;CHAR(10),"")&amp;
IF($P390&lt;&gt;"","Guardrails "&amp;CHAR(10)&amp;$P390&amp;CHAR(10)&amp;CHAR(10),"")&amp;
IF($Q390&lt;&gt;"","Completion signals "&amp;CHAR(10)&amp;$Q390,"")</f>
        <v/>
      </c>
      <c r="S390" s="25"/>
      <c r="T390" s="25"/>
      <c r="U390" s="8"/>
      <c r="V390" s="8" t="str">
        <f>_xlfn.SINGLE(IF($B390 = "", "", IF(_xlfn.SINGLE(_xlfn.TEXTJOIN(" | ", TRUE, IF($B390 = "", "Missing Title", ""), IF($C390 = "", "Missing Date", ""), IF($D390 = "", "Missing Start", ""), IF($E390 = "", "Missing End", ""), IF($G390 = "", "Missing Required Attendees", ""), IF($T390 = "", "Missing Status", ""), IF(AND($D390 &lt;&gt; "", $E390 &lt;&gt; "", $D390 &gt;= $E390), "Start&gt;=End", ""), IF(OR($R390 = "", LEN($R390) &lt; 60, ISNUMBER(MATCH(TRIM($R390), StatusList, 0))), "Body overwritten/short", ""))) = "", "OK", _xlfn.TEXTJOIN(" | ", TRUE, IF($B390 = "", "Missing Title", ""), IF($C390 = "", "Missing Date", ""), IF($D390 = "", "Missing Start", ""), IF($E390 = "", "Missing End", ""), IF($G390 = "", "Missing Required Attendees", ""), IF($T390 = "", "Missing Status", ""), IF(AND($D390 &lt;&gt; "", $E390 &lt;&gt; "", $D390 &gt;= $E390), "Start&gt;=End", ""), IF(OR($R390 = "", LEN($R390) &lt; 60, ISNUMBER(MATCH(TRIM($R390), StatusList, 0))), "Body overwritten/short", "")))))</f>
        <v/>
      </c>
    </row>
    <row r="391" spans="2:22" ht="12.75" customHeight="1">
      <c r="B391" s="25"/>
      <c r="C391" s="34"/>
      <c r="D391" s="38"/>
      <c r="E391" s="38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16" t="str">
        <f>IF($L391&lt;&gt;"","Purpose "&amp;CHAR(10)&amp;$L391&amp;CHAR(10)&amp;CHAR(10),"")&amp;
IF($M391&lt;&gt;"","Stops (in order) "&amp;CHAR(10)&amp;$M391&amp;CHAR(10)&amp;CHAR(10),"")&amp;
IF($N391&lt;&gt;"","To-Do (hard requirements) "&amp;CHAR(10)&amp;$N391&amp;CHAR(10)&amp;CHAR(10),"")&amp;
IF($O391&lt;&gt;"","Suggested Timeline "&amp;CHAR(10)&amp;$O391&amp;CHAR(10)&amp;CHAR(10),"")&amp;
IF($P391&lt;&gt;"","Guardrails "&amp;CHAR(10)&amp;$P391&amp;CHAR(10)&amp;CHAR(10),"")&amp;
IF($Q391&lt;&gt;"","Completion signals "&amp;CHAR(10)&amp;$Q391,"")</f>
        <v/>
      </c>
      <c r="S391" s="25"/>
      <c r="T391" s="25"/>
      <c r="U391" s="8"/>
      <c r="V391" s="8" t="str">
        <f>_xlfn.SINGLE(IF($B391 = "", "", IF(_xlfn.SINGLE(_xlfn.TEXTJOIN(" | ", TRUE, IF($B391 = "", "Missing Title", ""), IF($C391 = "", "Missing Date", ""), IF($D391 = "", "Missing Start", ""), IF($E391 = "", "Missing End", ""), IF($G391 = "", "Missing Required Attendees", ""), IF($T391 = "", "Missing Status", ""), IF(AND($D391 &lt;&gt; "", $E391 &lt;&gt; "", $D391 &gt;= $E391), "Start&gt;=End", ""), IF(OR($R391 = "", LEN($R391) &lt; 60, ISNUMBER(MATCH(TRIM($R391), StatusList, 0))), "Body overwritten/short", ""))) = "", "OK", _xlfn.TEXTJOIN(" | ", TRUE, IF($B391 = "", "Missing Title", ""), IF($C391 = "", "Missing Date", ""), IF($D391 = "", "Missing Start", ""), IF($E391 = "", "Missing End", ""), IF($G391 = "", "Missing Required Attendees", ""), IF($T391 = "", "Missing Status", ""), IF(AND($D391 &lt;&gt; "", $E391 &lt;&gt; "", $D391 &gt;= $E391), "Start&gt;=End", ""), IF(OR($R391 = "", LEN($R391) &lt; 60, ISNUMBER(MATCH(TRIM($R391), StatusList, 0))), "Body overwritten/short", "")))))</f>
        <v/>
      </c>
    </row>
    <row r="392" spans="2:22" ht="12.75" customHeight="1">
      <c r="B392" s="25"/>
      <c r="C392" s="34"/>
      <c r="D392" s="38"/>
      <c r="E392" s="38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16" t="str">
        <f>IF($L392&lt;&gt;"","Purpose "&amp;CHAR(10)&amp;$L392&amp;CHAR(10)&amp;CHAR(10),"")&amp;
IF($M392&lt;&gt;"","Stops (in order) "&amp;CHAR(10)&amp;$M392&amp;CHAR(10)&amp;CHAR(10),"")&amp;
IF($N392&lt;&gt;"","To-Do (hard requirements) "&amp;CHAR(10)&amp;$N392&amp;CHAR(10)&amp;CHAR(10),"")&amp;
IF($O392&lt;&gt;"","Suggested Timeline "&amp;CHAR(10)&amp;$O392&amp;CHAR(10)&amp;CHAR(10),"")&amp;
IF($P392&lt;&gt;"","Guardrails "&amp;CHAR(10)&amp;$P392&amp;CHAR(10)&amp;CHAR(10),"")&amp;
IF($Q392&lt;&gt;"","Completion signals "&amp;CHAR(10)&amp;$Q392,"")</f>
        <v/>
      </c>
      <c r="S392" s="25"/>
      <c r="T392" s="25"/>
      <c r="U392" s="8"/>
      <c r="V392" s="8" t="str">
        <f>_xlfn.SINGLE(IF($B392 = "", "", IF(_xlfn.SINGLE(_xlfn.TEXTJOIN(" | ", TRUE, IF($B392 = "", "Missing Title", ""), IF($C392 = "", "Missing Date", ""), IF($D392 = "", "Missing Start", ""), IF($E392 = "", "Missing End", ""), IF($G392 = "", "Missing Required Attendees", ""), IF($T392 = "", "Missing Status", ""), IF(AND($D392 &lt;&gt; "", $E392 &lt;&gt; "", $D392 &gt;= $E392), "Start&gt;=End", ""), IF(OR($R392 = "", LEN($R392) &lt; 60, ISNUMBER(MATCH(TRIM($R392), StatusList, 0))), "Body overwritten/short", ""))) = "", "OK", _xlfn.TEXTJOIN(" | ", TRUE, IF($B392 = "", "Missing Title", ""), IF($C392 = "", "Missing Date", ""), IF($D392 = "", "Missing Start", ""), IF($E392 = "", "Missing End", ""), IF($G392 = "", "Missing Required Attendees", ""), IF($T392 = "", "Missing Status", ""), IF(AND($D392 &lt;&gt; "", $E392 &lt;&gt; "", $D392 &gt;= $E392), "Start&gt;=End", ""), IF(OR($R392 = "", LEN($R392) &lt; 60, ISNUMBER(MATCH(TRIM($R392), StatusList, 0))), "Body overwritten/short", "")))))</f>
        <v/>
      </c>
    </row>
    <row r="393" spans="2:22" ht="12.75" customHeight="1">
      <c r="B393" s="25"/>
      <c r="C393" s="34"/>
      <c r="D393" s="38"/>
      <c r="E393" s="38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16" t="str">
        <f>IF($L393&lt;&gt;"","Purpose "&amp;CHAR(10)&amp;$L393&amp;CHAR(10)&amp;CHAR(10),"")&amp;
IF($M393&lt;&gt;"","Stops (in order) "&amp;CHAR(10)&amp;$M393&amp;CHAR(10)&amp;CHAR(10),"")&amp;
IF($N393&lt;&gt;"","To-Do (hard requirements) "&amp;CHAR(10)&amp;$N393&amp;CHAR(10)&amp;CHAR(10),"")&amp;
IF($O393&lt;&gt;"","Suggested Timeline "&amp;CHAR(10)&amp;$O393&amp;CHAR(10)&amp;CHAR(10),"")&amp;
IF($P393&lt;&gt;"","Guardrails "&amp;CHAR(10)&amp;$P393&amp;CHAR(10)&amp;CHAR(10),"")&amp;
IF($Q393&lt;&gt;"","Completion signals "&amp;CHAR(10)&amp;$Q393,"")</f>
        <v/>
      </c>
      <c r="S393" s="25"/>
      <c r="T393" s="25"/>
      <c r="U393" s="8"/>
      <c r="V393" s="8" t="str">
        <f>_xlfn.SINGLE(IF($B393 = "", "", IF(_xlfn.SINGLE(_xlfn.TEXTJOIN(" | ", TRUE, IF($B393 = "", "Missing Title", ""), IF($C393 = "", "Missing Date", ""), IF($D393 = "", "Missing Start", ""), IF($E393 = "", "Missing End", ""), IF($G393 = "", "Missing Required Attendees", ""), IF($T393 = "", "Missing Status", ""), IF(AND($D393 &lt;&gt; "", $E393 &lt;&gt; "", $D393 &gt;= $E393), "Start&gt;=End", ""), IF(OR($R393 = "", LEN($R393) &lt; 60, ISNUMBER(MATCH(TRIM($R393), StatusList, 0))), "Body overwritten/short", ""))) = "", "OK", _xlfn.TEXTJOIN(" | ", TRUE, IF($B393 = "", "Missing Title", ""), IF($C393 = "", "Missing Date", ""), IF($D393 = "", "Missing Start", ""), IF($E393 = "", "Missing End", ""), IF($G393 = "", "Missing Required Attendees", ""), IF($T393 = "", "Missing Status", ""), IF(AND($D393 &lt;&gt; "", $E393 &lt;&gt; "", $D393 &gt;= $E393), "Start&gt;=End", ""), IF(OR($R393 = "", LEN($R393) &lt; 60, ISNUMBER(MATCH(TRIM($R393), StatusList, 0))), "Body overwritten/short", "")))))</f>
        <v/>
      </c>
    </row>
    <row r="394" spans="2:22" ht="12.75" customHeight="1">
      <c r="B394" s="25"/>
      <c r="C394" s="34"/>
      <c r="D394" s="38"/>
      <c r="E394" s="38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16" t="str">
        <f>IF($L394&lt;&gt;"","Purpose "&amp;CHAR(10)&amp;$L394&amp;CHAR(10)&amp;CHAR(10),"")&amp;
IF($M394&lt;&gt;"","Stops (in order) "&amp;CHAR(10)&amp;$M394&amp;CHAR(10)&amp;CHAR(10),"")&amp;
IF($N394&lt;&gt;"","To-Do (hard requirements) "&amp;CHAR(10)&amp;$N394&amp;CHAR(10)&amp;CHAR(10),"")&amp;
IF($O394&lt;&gt;"","Suggested Timeline "&amp;CHAR(10)&amp;$O394&amp;CHAR(10)&amp;CHAR(10),"")&amp;
IF($P394&lt;&gt;"","Guardrails "&amp;CHAR(10)&amp;$P394&amp;CHAR(10)&amp;CHAR(10),"")&amp;
IF($Q394&lt;&gt;"","Completion signals "&amp;CHAR(10)&amp;$Q394,"")</f>
        <v/>
      </c>
      <c r="S394" s="25"/>
      <c r="T394" s="25"/>
      <c r="U394" s="8"/>
      <c r="V394" s="8" t="str">
        <f>_xlfn.SINGLE(IF($B394 = "", "", IF(_xlfn.SINGLE(_xlfn.TEXTJOIN(" | ", TRUE, IF($B394 = "", "Missing Title", ""), IF($C394 = "", "Missing Date", ""), IF($D394 = "", "Missing Start", ""), IF($E394 = "", "Missing End", ""), IF($G394 = "", "Missing Required Attendees", ""), IF($T394 = "", "Missing Status", ""), IF(AND($D394 &lt;&gt; "", $E394 &lt;&gt; "", $D394 &gt;= $E394), "Start&gt;=End", ""), IF(OR($R394 = "", LEN($R394) &lt; 60, ISNUMBER(MATCH(TRIM($R394), StatusList, 0))), "Body overwritten/short", ""))) = "", "OK", _xlfn.TEXTJOIN(" | ", TRUE, IF($B394 = "", "Missing Title", ""), IF($C394 = "", "Missing Date", ""), IF($D394 = "", "Missing Start", ""), IF($E394 = "", "Missing End", ""), IF($G394 = "", "Missing Required Attendees", ""), IF($T394 = "", "Missing Status", ""), IF(AND($D394 &lt;&gt; "", $E394 &lt;&gt; "", $D394 &gt;= $E394), "Start&gt;=End", ""), IF(OR($R394 = "", LEN($R394) &lt; 60, ISNUMBER(MATCH(TRIM($R394), StatusList, 0))), "Body overwritten/short", "")))))</f>
        <v/>
      </c>
    </row>
    <row r="395" spans="2:22" ht="12.75" customHeight="1">
      <c r="B395" s="25"/>
      <c r="C395" s="34"/>
      <c r="D395" s="38"/>
      <c r="E395" s="38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16" t="str">
        <f>IF($L395&lt;&gt;"","Purpose "&amp;CHAR(10)&amp;$L395&amp;CHAR(10)&amp;CHAR(10),"")&amp;
IF($M395&lt;&gt;"","Stops (in order) "&amp;CHAR(10)&amp;$M395&amp;CHAR(10)&amp;CHAR(10),"")&amp;
IF($N395&lt;&gt;"","To-Do (hard requirements) "&amp;CHAR(10)&amp;$N395&amp;CHAR(10)&amp;CHAR(10),"")&amp;
IF($O395&lt;&gt;"","Suggested Timeline "&amp;CHAR(10)&amp;$O395&amp;CHAR(10)&amp;CHAR(10),"")&amp;
IF($P395&lt;&gt;"","Guardrails "&amp;CHAR(10)&amp;$P395&amp;CHAR(10)&amp;CHAR(10),"")&amp;
IF($Q395&lt;&gt;"","Completion signals "&amp;CHAR(10)&amp;$Q395,"")</f>
        <v/>
      </c>
      <c r="S395" s="25"/>
      <c r="T395" s="25"/>
      <c r="U395" s="8"/>
      <c r="V395" s="8" t="str">
        <f>_xlfn.SINGLE(IF($B395 = "", "", IF(_xlfn.SINGLE(_xlfn.TEXTJOIN(" | ", TRUE, IF($B395 = "", "Missing Title", ""), IF($C395 = "", "Missing Date", ""), IF($D395 = "", "Missing Start", ""), IF($E395 = "", "Missing End", ""), IF($G395 = "", "Missing Required Attendees", ""), IF($T395 = "", "Missing Status", ""), IF(AND($D395 &lt;&gt; "", $E395 &lt;&gt; "", $D395 &gt;= $E395), "Start&gt;=End", ""), IF(OR($R395 = "", LEN($R395) &lt; 60, ISNUMBER(MATCH(TRIM($R395), StatusList, 0))), "Body overwritten/short", ""))) = "", "OK", _xlfn.TEXTJOIN(" | ", TRUE, IF($B395 = "", "Missing Title", ""), IF($C395 = "", "Missing Date", ""), IF($D395 = "", "Missing Start", ""), IF($E395 = "", "Missing End", ""), IF($G395 = "", "Missing Required Attendees", ""), IF($T395 = "", "Missing Status", ""), IF(AND($D395 &lt;&gt; "", $E395 &lt;&gt; "", $D395 &gt;= $E395), "Start&gt;=End", ""), IF(OR($R395 = "", LEN($R395) &lt; 60, ISNUMBER(MATCH(TRIM($R395), StatusList, 0))), "Body overwritten/short", "")))))</f>
        <v/>
      </c>
    </row>
    <row r="396" spans="2:22" ht="12.75" customHeight="1">
      <c r="B396" s="25"/>
      <c r="C396" s="34"/>
      <c r="D396" s="38"/>
      <c r="E396" s="38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16" t="str">
        <f>IF($L396&lt;&gt;"","Purpose "&amp;CHAR(10)&amp;$L396&amp;CHAR(10)&amp;CHAR(10),"")&amp;
IF($M396&lt;&gt;"","Stops (in order) "&amp;CHAR(10)&amp;$M396&amp;CHAR(10)&amp;CHAR(10),"")&amp;
IF($N396&lt;&gt;"","To-Do (hard requirements) "&amp;CHAR(10)&amp;$N396&amp;CHAR(10)&amp;CHAR(10),"")&amp;
IF($O396&lt;&gt;"","Suggested Timeline "&amp;CHAR(10)&amp;$O396&amp;CHAR(10)&amp;CHAR(10),"")&amp;
IF($P396&lt;&gt;"","Guardrails "&amp;CHAR(10)&amp;$P396&amp;CHAR(10)&amp;CHAR(10),"")&amp;
IF($Q396&lt;&gt;"","Completion signals "&amp;CHAR(10)&amp;$Q396,"")</f>
        <v/>
      </c>
      <c r="S396" s="25"/>
      <c r="T396" s="25"/>
      <c r="U396" s="8"/>
      <c r="V396" s="8" t="str">
        <f>_xlfn.SINGLE(IF($B396 = "", "", IF(_xlfn.SINGLE(_xlfn.TEXTJOIN(" | ", TRUE, IF($B396 = "", "Missing Title", ""), IF($C396 = "", "Missing Date", ""), IF($D396 = "", "Missing Start", ""), IF($E396 = "", "Missing End", ""), IF($G396 = "", "Missing Required Attendees", ""), IF($T396 = "", "Missing Status", ""), IF(AND($D396 &lt;&gt; "", $E396 &lt;&gt; "", $D396 &gt;= $E396), "Start&gt;=End", ""), IF(OR($R396 = "", LEN($R396) &lt; 60, ISNUMBER(MATCH(TRIM($R396), StatusList, 0))), "Body overwritten/short", ""))) = "", "OK", _xlfn.TEXTJOIN(" | ", TRUE, IF($B396 = "", "Missing Title", ""), IF($C396 = "", "Missing Date", ""), IF($D396 = "", "Missing Start", ""), IF($E396 = "", "Missing End", ""), IF($G396 = "", "Missing Required Attendees", ""), IF($T396 = "", "Missing Status", ""), IF(AND($D396 &lt;&gt; "", $E396 &lt;&gt; "", $D396 &gt;= $E396), "Start&gt;=End", ""), IF(OR($R396 = "", LEN($R396) &lt; 60, ISNUMBER(MATCH(TRIM($R396), StatusList, 0))), "Body overwritten/short", "")))))</f>
        <v/>
      </c>
    </row>
    <row r="397" spans="2:22" ht="12.75" customHeight="1">
      <c r="B397" s="25"/>
      <c r="C397" s="34"/>
      <c r="D397" s="38"/>
      <c r="E397" s="38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16" t="str">
        <f>IF($L397&lt;&gt;"","Purpose "&amp;CHAR(10)&amp;$L397&amp;CHAR(10)&amp;CHAR(10),"")&amp;
IF($M397&lt;&gt;"","Stops (in order) "&amp;CHAR(10)&amp;$M397&amp;CHAR(10)&amp;CHAR(10),"")&amp;
IF($N397&lt;&gt;"","To-Do (hard requirements) "&amp;CHAR(10)&amp;$N397&amp;CHAR(10)&amp;CHAR(10),"")&amp;
IF($O397&lt;&gt;"","Suggested Timeline "&amp;CHAR(10)&amp;$O397&amp;CHAR(10)&amp;CHAR(10),"")&amp;
IF($P397&lt;&gt;"","Guardrails "&amp;CHAR(10)&amp;$P397&amp;CHAR(10)&amp;CHAR(10),"")&amp;
IF($Q397&lt;&gt;"","Completion signals "&amp;CHAR(10)&amp;$Q397,"")</f>
        <v/>
      </c>
      <c r="S397" s="25"/>
      <c r="T397" s="25"/>
      <c r="U397" s="8"/>
      <c r="V397" s="8" t="str">
        <f>_xlfn.SINGLE(IF($B397 = "", "", IF(_xlfn.SINGLE(_xlfn.TEXTJOIN(" | ", TRUE, IF($B397 = "", "Missing Title", ""), IF($C397 = "", "Missing Date", ""), IF($D397 = "", "Missing Start", ""), IF($E397 = "", "Missing End", ""), IF($G397 = "", "Missing Required Attendees", ""), IF($T397 = "", "Missing Status", ""), IF(AND($D397 &lt;&gt; "", $E397 &lt;&gt; "", $D397 &gt;= $E397), "Start&gt;=End", ""), IF(OR($R397 = "", LEN($R397) &lt; 60, ISNUMBER(MATCH(TRIM($R397), StatusList, 0))), "Body overwritten/short", ""))) = "", "OK", _xlfn.TEXTJOIN(" | ", TRUE, IF($B397 = "", "Missing Title", ""), IF($C397 = "", "Missing Date", ""), IF($D397 = "", "Missing Start", ""), IF($E397 = "", "Missing End", ""), IF($G397 = "", "Missing Required Attendees", ""), IF($T397 = "", "Missing Status", ""), IF(AND($D397 &lt;&gt; "", $E397 &lt;&gt; "", $D397 &gt;= $E397), "Start&gt;=End", ""), IF(OR($R397 = "", LEN($R397) &lt; 60, ISNUMBER(MATCH(TRIM($R397), StatusList, 0))), "Body overwritten/short", "")))))</f>
        <v/>
      </c>
    </row>
    <row r="398" spans="2:22" ht="12.75" customHeight="1">
      <c r="B398" s="25"/>
      <c r="C398" s="34"/>
      <c r="D398" s="38"/>
      <c r="E398" s="38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16" t="str">
        <f>IF($L398&lt;&gt;"","Purpose "&amp;CHAR(10)&amp;$L398&amp;CHAR(10)&amp;CHAR(10),"")&amp;
IF($M398&lt;&gt;"","Stops (in order) "&amp;CHAR(10)&amp;$M398&amp;CHAR(10)&amp;CHAR(10),"")&amp;
IF($N398&lt;&gt;"","To-Do (hard requirements) "&amp;CHAR(10)&amp;$N398&amp;CHAR(10)&amp;CHAR(10),"")&amp;
IF($O398&lt;&gt;"","Suggested Timeline "&amp;CHAR(10)&amp;$O398&amp;CHAR(10)&amp;CHAR(10),"")&amp;
IF($P398&lt;&gt;"","Guardrails "&amp;CHAR(10)&amp;$P398&amp;CHAR(10)&amp;CHAR(10),"")&amp;
IF($Q398&lt;&gt;"","Completion signals "&amp;CHAR(10)&amp;$Q398,"")</f>
        <v/>
      </c>
      <c r="S398" s="25"/>
      <c r="T398" s="25"/>
      <c r="U398" s="8"/>
      <c r="V398" s="8" t="str">
        <f>_xlfn.SINGLE(IF($B398 = "", "", IF(_xlfn.SINGLE(_xlfn.TEXTJOIN(" | ", TRUE, IF($B398 = "", "Missing Title", ""), IF($C398 = "", "Missing Date", ""), IF($D398 = "", "Missing Start", ""), IF($E398 = "", "Missing End", ""), IF($G398 = "", "Missing Required Attendees", ""), IF($T398 = "", "Missing Status", ""), IF(AND($D398 &lt;&gt; "", $E398 &lt;&gt; "", $D398 &gt;= $E398), "Start&gt;=End", ""), IF(OR($R398 = "", LEN($R398) &lt; 60, ISNUMBER(MATCH(TRIM($R398), StatusList, 0))), "Body overwritten/short", ""))) = "", "OK", _xlfn.TEXTJOIN(" | ", TRUE, IF($B398 = "", "Missing Title", ""), IF($C398 = "", "Missing Date", ""), IF($D398 = "", "Missing Start", ""), IF($E398 = "", "Missing End", ""), IF($G398 = "", "Missing Required Attendees", ""), IF($T398 = "", "Missing Status", ""), IF(AND($D398 &lt;&gt; "", $E398 &lt;&gt; "", $D398 &gt;= $E398), "Start&gt;=End", ""), IF(OR($R398 = "", LEN($R398) &lt; 60, ISNUMBER(MATCH(TRIM($R398), StatusList, 0))), "Body overwritten/short", "")))))</f>
        <v/>
      </c>
    </row>
    <row r="399" spans="2:22" ht="12.75" customHeight="1">
      <c r="B399" s="25"/>
      <c r="C399" s="34"/>
      <c r="D399" s="38"/>
      <c r="E399" s="38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16" t="str">
        <f>IF($L399&lt;&gt;"","Purpose "&amp;CHAR(10)&amp;$L399&amp;CHAR(10)&amp;CHAR(10),"")&amp;
IF($M399&lt;&gt;"","Stops (in order) "&amp;CHAR(10)&amp;$M399&amp;CHAR(10)&amp;CHAR(10),"")&amp;
IF($N399&lt;&gt;"","To-Do (hard requirements) "&amp;CHAR(10)&amp;$N399&amp;CHAR(10)&amp;CHAR(10),"")&amp;
IF($O399&lt;&gt;"","Suggested Timeline "&amp;CHAR(10)&amp;$O399&amp;CHAR(10)&amp;CHAR(10),"")&amp;
IF($P399&lt;&gt;"","Guardrails "&amp;CHAR(10)&amp;$P399&amp;CHAR(10)&amp;CHAR(10),"")&amp;
IF($Q399&lt;&gt;"","Completion signals "&amp;CHAR(10)&amp;$Q399,"")</f>
        <v/>
      </c>
      <c r="S399" s="25"/>
      <c r="T399" s="25"/>
      <c r="U399" s="8"/>
      <c r="V399" s="8" t="str">
        <f>_xlfn.SINGLE(IF($B399 = "", "", IF(_xlfn.SINGLE(_xlfn.TEXTJOIN(" | ", TRUE, IF($B399 = "", "Missing Title", ""), IF($C399 = "", "Missing Date", ""), IF($D399 = "", "Missing Start", ""), IF($E399 = "", "Missing End", ""), IF($G399 = "", "Missing Required Attendees", ""), IF($T399 = "", "Missing Status", ""), IF(AND($D399 &lt;&gt; "", $E399 &lt;&gt; "", $D399 &gt;= $E399), "Start&gt;=End", ""), IF(OR($R399 = "", LEN($R399) &lt; 60, ISNUMBER(MATCH(TRIM($R399), StatusList, 0))), "Body overwritten/short", ""))) = "", "OK", _xlfn.TEXTJOIN(" | ", TRUE, IF($B399 = "", "Missing Title", ""), IF($C399 = "", "Missing Date", ""), IF($D399 = "", "Missing Start", ""), IF($E399 = "", "Missing End", ""), IF($G399 = "", "Missing Required Attendees", ""), IF($T399 = "", "Missing Status", ""), IF(AND($D399 &lt;&gt; "", $E399 &lt;&gt; "", $D399 &gt;= $E399), "Start&gt;=End", ""), IF(OR($R399 = "", LEN($R399) &lt; 60, ISNUMBER(MATCH(TRIM($R399), StatusList, 0))), "Body overwritten/short", "")))))</f>
        <v/>
      </c>
    </row>
    <row r="400" spans="2:22" ht="12.75" customHeight="1">
      <c r="B400" s="25"/>
      <c r="C400" s="34"/>
      <c r="D400" s="38"/>
      <c r="E400" s="38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16" t="str">
        <f>IF($L400&lt;&gt;"","Purpose "&amp;CHAR(10)&amp;$L400&amp;CHAR(10)&amp;CHAR(10),"")&amp;
IF($M400&lt;&gt;"","Stops (in order) "&amp;CHAR(10)&amp;$M400&amp;CHAR(10)&amp;CHAR(10),"")&amp;
IF($N400&lt;&gt;"","To-Do (hard requirements) "&amp;CHAR(10)&amp;$N400&amp;CHAR(10)&amp;CHAR(10),"")&amp;
IF($O400&lt;&gt;"","Suggested Timeline "&amp;CHAR(10)&amp;$O400&amp;CHAR(10)&amp;CHAR(10),"")&amp;
IF($P400&lt;&gt;"","Guardrails "&amp;CHAR(10)&amp;$P400&amp;CHAR(10)&amp;CHAR(10),"")&amp;
IF($Q400&lt;&gt;"","Completion signals "&amp;CHAR(10)&amp;$Q400,"")</f>
        <v/>
      </c>
      <c r="S400" s="25"/>
      <c r="T400" s="25"/>
      <c r="U400" s="8"/>
      <c r="V400" s="8" t="str">
        <f>_xlfn.SINGLE(IF($B400 = "", "", IF(_xlfn.SINGLE(_xlfn.TEXTJOIN(" | ", TRUE, IF($B400 = "", "Missing Title", ""), IF($C400 = "", "Missing Date", ""), IF($D400 = "", "Missing Start", ""), IF($E400 = "", "Missing End", ""), IF($G400 = "", "Missing Required Attendees", ""), IF($T400 = "", "Missing Status", ""), IF(AND($D400 &lt;&gt; "", $E400 &lt;&gt; "", $D400 &gt;= $E400), "Start&gt;=End", ""), IF(OR($R400 = "", LEN($R400) &lt; 60, ISNUMBER(MATCH(TRIM($R400), StatusList, 0))), "Body overwritten/short", ""))) = "", "OK", _xlfn.TEXTJOIN(" | ", TRUE, IF($B400 = "", "Missing Title", ""), IF($C400 = "", "Missing Date", ""), IF($D400 = "", "Missing Start", ""), IF($E400 = "", "Missing End", ""), IF($G400 = "", "Missing Required Attendees", ""), IF($T400 = "", "Missing Status", ""), IF(AND($D400 &lt;&gt; "", $E400 &lt;&gt; "", $D400 &gt;= $E400), "Start&gt;=End", ""), IF(OR($R400 = "", LEN($R400) &lt; 60, ISNUMBER(MATCH(TRIM($R400), StatusList, 0))), "Body overwritten/short", "")))))</f>
        <v/>
      </c>
    </row>
    <row r="401" spans="2:22" ht="12.75" customHeight="1">
      <c r="B401" s="25"/>
      <c r="C401" s="34"/>
      <c r="D401" s="38"/>
      <c r="E401" s="38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16" t="str">
        <f>IF($L401&lt;&gt;"","Purpose "&amp;CHAR(10)&amp;$L401&amp;CHAR(10)&amp;CHAR(10),"")&amp;
IF($M401&lt;&gt;"","Stops (in order) "&amp;CHAR(10)&amp;$M401&amp;CHAR(10)&amp;CHAR(10),"")&amp;
IF($N401&lt;&gt;"","To-Do (hard requirements) "&amp;CHAR(10)&amp;$N401&amp;CHAR(10)&amp;CHAR(10),"")&amp;
IF($O401&lt;&gt;"","Suggested Timeline "&amp;CHAR(10)&amp;$O401&amp;CHAR(10)&amp;CHAR(10),"")&amp;
IF($P401&lt;&gt;"","Guardrails "&amp;CHAR(10)&amp;$P401&amp;CHAR(10)&amp;CHAR(10),"")&amp;
IF($Q401&lt;&gt;"","Completion signals "&amp;CHAR(10)&amp;$Q401,"")</f>
        <v/>
      </c>
      <c r="S401" s="25"/>
      <c r="T401" s="25"/>
      <c r="U401" s="8"/>
      <c r="V401" s="8" t="str">
        <f>_xlfn.SINGLE(IF($B401 = "", "", IF(_xlfn.SINGLE(_xlfn.TEXTJOIN(" | ", TRUE, IF($B401 = "", "Missing Title", ""), IF($C401 = "", "Missing Date", ""), IF($D401 = "", "Missing Start", ""), IF($E401 = "", "Missing End", ""), IF($G401 = "", "Missing Required Attendees", ""), IF($T401 = "", "Missing Status", ""), IF(AND($D401 &lt;&gt; "", $E401 &lt;&gt; "", $D401 &gt;= $E401), "Start&gt;=End", ""), IF(OR($R401 = "", LEN($R401) &lt; 60, ISNUMBER(MATCH(TRIM($R401), StatusList, 0))), "Body overwritten/short", ""))) = "", "OK", _xlfn.TEXTJOIN(" | ", TRUE, IF($B401 = "", "Missing Title", ""), IF($C401 = "", "Missing Date", ""), IF($D401 = "", "Missing Start", ""), IF($E401 = "", "Missing End", ""), IF($G401 = "", "Missing Required Attendees", ""), IF($T401 = "", "Missing Status", ""), IF(AND($D401 &lt;&gt; "", $E401 &lt;&gt; "", $D401 &gt;= $E401), "Start&gt;=End", ""), IF(OR($R401 = "", LEN($R401) &lt; 60, ISNUMBER(MATCH(TRIM($R401), StatusList, 0))), "Body overwritten/short", "")))))</f>
        <v/>
      </c>
    </row>
    <row r="402" spans="2:22" ht="12.75" customHeight="1">
      <c r="B402" s="25"/>
      <c r="C402" s="34"/>
      <c r="D402" s="38"/>
      <c r="E402" s="38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16" t="str">
        <f>IF($L402&lt;&gt;"","Purpose "&amp;CHAR(10)&amp;$L402&amp;CHAR(10)&amp;CHAR(10),"")&amp;
IF($M402&lt;&gt;"","Stops (in order) "&amp;CHAR(10)&amp;$M402&amp;CHAR(10)&amp;CHAR(10),"")&amp;
IF($N402&lt;&gt;"","To-Do (hard requirements) "&amp;CHAR(10)&amp;$N402&amp;CHAR(10)&amp;CHAR(10),"")&amp;
IF($O402&lt;&gt;"","Suggested Timeline "&amp;CHAR(10)&amp;$O402&amp;CHAR(10)&amp;CHAR(10),"")&amp;
IF($P402&lt;&gt;"","Guardrails "&amp;CHAR(10)&amp;$P402&amp;CHAR(10)&amp;CHAR(10),"")&amp;
IF($Q402&lt;&gt;"","Completion signals "&amp;CHAR(10)&amp;$Q402,"")</f>
        <v/>
      </c>
      <c r="S402" s="25"/>
      <c r="T402" s="25"/>
      <c r="U402" s="8"/>
      <c r="V402" s="8" t="str">
        <f>_xlfn.SINGLE(IF($B402 = "", "", IF(_xlfn.SINGLE(_xlfn.TEXTJOIN(" | ", TRUE, IF($B402 = "", "Missing Title", ""), IF($C402 = "", "Missing Date", ""), IF($D402 = "", "Missing Start", ""), IF($E402 = "", "Missing End", ""), IF($G402 = "", "Missing Required Attendees", ""), IF($T402 = "", "Missing Status", ""), IF(AND($D402 &lt;&gt; "", $E402 &lt;&gt; "", $D402 &gt;= $E402), "Start&gt;=End", ""), IF(OR($R402 = "", LEN($R402) &lt; 60, ISNUMBER(MATCH(TRIM($R402), StatusList, 0))), "Body overwritten/short", ""))) = "", "OK", _xlfn.TEXTJOIN(" | ", TRUE, IF($B402 = "", "Missing Title", ""), IF($C402 = "", "Missing Date", ""), IF($D402 = "", "Missing Start", ""), IF($E402 = "", "Missing End", ""), IF($G402 = "", "Missing Required Attendees", ""), IF($T402 = "", "Missing Status", ""), IF(AND($D402 &lt;&gt; "", $E402 &lt;&gt; "", $D402 &gt;= $E402), "Start&gt;=End", ""), IF(OR($R402 = "", LEN($R402) &lt; 60, ISNUMBER(MATCH(TRIM($R402), StatusList, 0))), "Body overwritten/short", "")))))</f>
        <v/>
      </c>
    </row>
    <row r="403" spans="2:22" ht="12.75" customHeight="1">
      <c r="B403" s="25"/>
      <c r="C403" s="34"/>
      <c r="D403" s="38"/>
      <c r="E403" s="38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16" t="str">
        <f>IF($L403&lt;&gt;"","Purpose "&amp;CHAR(10)&amp;$L403&amp;CHAR(10)&amp;CHAR(10),"")&amp;
IF($M403&lt;&gt;"","Stops (in order) "&amp;CHAR(10)&amp;$M403&amp;CHAR(10)&amp;CHAR(10),"")&amp;
IF($N403&lt;&gt;"","To-Do (hard requirements) "&amp;CHAR(10)&amp;$N403&amp;CHAR(10)&amp;CHAR(10),"")&amp;
IF($O403&lt;&gt;"","Suggested Timeline "&amp;CHAR(10)&amp;$O403&amp;CHAR(10)&amp;CHAR(10),"")&amp;
IF($P403&lt;&gt;"","Guardrails "&amp;CHAR(10)&amp;$P403&amp;CHAR(10)&amp;CHAR(10),"")&amp;
IF($Q403&lt;&gt;"","Completion signals "&amp;CHAR(10)&amp;$Q403,"")</f>
        <v/>
      </c>
      <c r="S403" s="25"/>
      <c r="T403" s="25"/>
      <c r="U403" s="8"/>
      <c r="V403" s="8" t="str">
        <f>_xlfn.SINGLE(IF($B403 = "", "", IF(_xlfn.SINGLE(_xlfn.TEXTJOIN(" | ", TRUE, IF($B403 = "", "Missing Title", ""), IF($C403 = "", "Missing Date", ""), IF($D403 = "", "Missing Start", ""), IF($E403 = "", "Missing End", ""), IF($G403 = "", "Missing Required Attendees", ""), IF($T403 = "", "Missing Status", ""), IF(AND($D403 &lt;&gt; "", $E403 &lt;&gt; "", $D403 &gt;= $E403), "Start&gt;=End", ""), IF(OR($R403 = "", LEN($R403) &lt; 60, ISNUMBER(MATCH(TRIM($R403), StatusList, 0))), "Body overwritten/short", ""))) = "", "OK", _xlfn.TEXTJOIN(" | ", TRUE, IF($B403 = "", "Missing Title", ""), IF($C403 = "", "Missing Date", ""), IF($D403 = "", "Missing Start", ""), IF($E403 = "", "Missing End", ""), IF($G403 = "", "Missing Required Attendees", ""), IF($T403 = "", "Missing Status", ""), IF(AND($D403 &lt;&gt; "", $E403 &lt;&gt; "", $D403 &gt;= $E403), "Start&gt;=End", ""), IF(OR($R403 = "", LEN($R403) &lt; 60, ISNUMBER(MATCH(TRIM($R403), StatusList, 0))), "Body overwritten/short", "")))))</f>
        <v/>
      </c>
    </row>
    <row r="404" spans="2:22" ht="12.75" customHeight="1">
      <c r="B404" s="25"/>
      <c r="C404" s="34"/>
      <c r="D404" s="38"/>
      <c r="E404" s="38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16" t="str">
        <f>IF($L404&lt;&gt;"","Purpose "&amp;CHAR(10)&amp;$L404&amp;CHAR(10)&amp;CHAR(10),"")&amp;
IF($M404&lt;&gt;"","Stops (in order) "&amp;CHAR(10)&amp;$M404&amp;CHAR(10)&amp;CHAR(10),"")&amp;
IF($N404&lt;&gt;"","To-Do (hard requirements) "&amp;CHAR(10)&amp;$N404&amp;CHAR(10)&amp;CHAR(10),"")&amp;
IF($O404&lt;&gt;"","Suggested Timeline "&amp;CHAR(10)&amp;$O404&amp;CHAR(10)&amp;CHAR(10),"")&amp;
IF($P404&lt;&gt;"","Guardrails "&amp;CHAR(10)&amp;$P404&amp;CHAR(10)&amp;CHAR(10),"")&amp;
IF($Q404&lt;&gt;"","Completion signals "&amp;CHAR(10)&amp;$Q404,"")</f>
        <v/>
      </c>
      <c r="S404" s="25"/>
      <c r="T404" s="25"/>
      <c r="U404" s="8"/>
      <c r="V404" s="8" t="str">
        <f>_xlfn.SINGLE(IF($B404 = "", "", IF(_xlfn.SINGLE(_xlfn.TEXTJOIN(" | ", TRUE, IF($B404 = "", "Missing Title", ""), IF($C404 = "", "Missing Date", ""), IF($D404 = "", "Missing Start", ""), IF($E404 = "", "Missing End", ""), IF($G404 = "", "Missing Required Attendees", ""), IF($T404 = "", "Missing Status", ""), IF(AND($D404 &lt;&gt; "", $E404 &lt;&gt; "", $D404 &gt;= $E404), "Start&gt;=End", ""), IF(OR($R404 = "", LEN($R404) &lt; 60, ISNUMBER(MATCH(TRIM($R404), StatusList, 0))), "Body overwritten/short", ""))) = "", "OK", _xlfn.TEXTJOIN(" | ", TRUE, IF($B404 = "", "Missing Title", ""), IF($C404 = "", "Missing Date", ""), IF($D404 = "", "Missing Start", ""), IF($E404 = "", "Missing End", ""), IF($G404 = "", "Missing Required Attendees", ""), IF($T404 = "", "Missing Status", ""), IF(AND($D404 &lt;&gt; "", $E404 &lt;&gt; "", $D404 &gt;= $E404), "Start&gt;=End", ""), IF(OR($R404 = "", LEN($R404) &lt; 60, ISNUMBER(MATCH(TRIM($R404), StatusList, 0))), "Body overwritten/short", "")))))</f>
        <v/>
      </c>
    </row>
    <row r="405" spans="2:22" ht="12.75" customHeight="1">
      <c r="B405" s="25"/>
      <c r="C405" s="34"/>
      <c r="D405" s="38"/>
      <c r="E405" s="38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16" t="str">
        <f>IF($L405&lt;&gt;"","Purpose "&amp;CHAR(10)&amp;$L405&amp;CHAR(10)&amp;CHAR(10),"")&amp;
IF($M405&lt;&gt;"","Stops (in order) "&amp;CHAR(10)&amp;$M405&amp;CHAR(10)&amp;CHAR(10),"")&amp;
IF($N405&lt;&gt;"","To-Do (hard requirements) "&amp;CHAR(10)&amp;$N405&amp;CHAR(10)&amp;CHAR(10),"")&amp;
IF($O405&lt;&gt;"","Suggested Timeline "&amp;CHAR(10)&amp;$O405&amp;CHAR(10)&amp;CHAR(10),"")&amp;
IF($P405&lt;&gt;"","Guardrails "&amp;CHAR(10)&amp;$P405&amp;CHAR(10)&amp;CHAR(10),"")&amp;
IF($Q405&lt;&gt;"","Completion signals "&amp;CHAR(10)&amp;$Q405,"")</f>
        <v/>
      </c>
      <c r="S405" s="25"/>
      <c r="T405" s="25"/>
      <c r="U405" s="8"/>
      <c r="V405" s="8" t="str">
        <f>_xlfn.SINGLE(IF($B405 = "", "", IF(_xlfn.SINGLE(_xlfn.TEXTJOIN(" | ", TRUE, IF($B405 = "", "Missing Title", ""), IF($C405 = "", "Missing Date", ""), IF($D405 = "", "Missing Start", ""), IF($E405 = "", "Missing End", ""), IF($G405 = "", "Missing Required Attendees", ""), IF($T405 = "", "Missing Status", ""), IF(AND($D405 &lt;&gt; "", $E405 &lt;&gt; "", $D405 &gt;= $E405), "Start&gt;=End", ""), IF(OR($R405 = "", LEN($R405) &lt; 60, ISNUMBER(MATCH(TRIM($R405), StatusList, 0))), "Body overwritten/short", ""))) = "", "OK", _xlfn.TEXTJOIN(" | ", TRUE, IF($B405 = "", "Missing Title", ""), IF($C405 = "", "Missing Date", ""), IF($D405 = "", "Missing Start", ""), IF($E405 = "", "Missing End", ""), IF($G405 = "", "Missing Required Attendees", ""), IF($T405 = "", "Missing Status", ""), IF(AND($D405 &lt;&gt; "", $E405 &lt;&gt; "", $D405 &gt;= $E405), "Start&gt;=End", ""), IF(OR($R405 = "", LEN($R405) &lt; 60, ISNUMBER(MATCH(TRIM($R405), StatusList, 0))), "Body overwritten/short", "")))))</f>
        <v/>
      </c>
    </row>
    <row r="406" spans="2:22" ht="12.75" customHeight="1">
      <c r="B406" s="25"/>
      <c r="C406" s="34"/>
      <c r="D406" s="38"/>
      <c r="E406" s="38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16" t="str">
        <f>IF($L406&lt;&gt;"","Purpose "&amp;CHAR(10)&amp;$L406&amp;CHAR(10)&amp;CHAR(10),"")&amp;
IF($M406&lt;&gt;"","Stops (in order) "&amp;CHAR(10)&amp;$M406&amp;CHAR(10)&amp;CHAR(10),"")&amp;
IF($N406&lt;&gt;"","To-Do (hard requirements) "&amp;CHAR(10)&amp;$N406&amp;CHAR(10)&amp;CHAR(10),"")&amp;
IF($O406&lt;&gt;"","Suggested Timeline "&amp;CHAR(10)&amp;$O406&amp;CHAR(10)&amp;CHAR(10),"")&amp;
IF($P406&lt;&gt;"","Guardrails "&amp;CHAR(10)&amp;$P406&amp;CHAR(10)&amp;CHAR(10),"")&amp;
IF($Q406&lt;&gt;"","Completion signals "&amp;CHAR(10)&amp;$Q406,"")</f>
        <v/>
      </c>
      <c r="S406" s="25"/>
      <c r="T406" s="25"/>
      <c r="U406" s="8"/>
      <c r="V406" s="8" t="str">
        <f>_xlfn.SINGLE(IF($B406 = "", "", IF(_xlfn.SINGLE(_xlfn.TEXTJOIN(" | ", TRUE, IF($B406 = "", "Missing Title", ""), IF($C406 = "", "Missing Date", ""), IF($D406 = "", "Missing Start", ""), IF($E406 = "", "Missing End", ""), IF($G406 = "", "Missing Required Attendees", ""), IF($T406 = "", "Missing Status", ""), IF(AND($D406 &lt;&gt; "", $E406 &lt;&gt; "", $D406 &gt;= $E406), "Start&gt;=End", ""), IF(OR($R406 = "", LEN($R406) &lt; 60, ISNUMBER(MATCH(TRIM($R406), StatusList, 0))), "Body overwritten/short", ""))) = "", "OK", _xlfn.TEXTJOIN(" | ", TRUE, IF($B406 = "", "Missing Title", ""), IF($C406 = "", "Missing Date", ""), IF($D406 = "", "Missing Start", ""), IF($E406 = "", "Missing End", ""), IF($G406 = "", "Missing Required Attendees", ""), IF($T406 = "", "Missing Status", ""), IF(AND($D406 &lt;&gt; "", $E406 &lt;&gt; "", $D406 &gt;= $E406), "Start&gt;=End", ""), IF(OR($R406 = "", LEN($R406) &lt; 60, ISNUMBER(MATCH(TRIM($R406), StatusList, 0))), "Body overwritten/short", "")))))</f>
        <v/>
      </c>
    </row>
    <row r="407" spans="2:22" ht="12.75" customHeight="1">
      <c r="B407" s="25"/>
      <c r="C407" s="34"/>
      <c r="D407" s="38"/>
      <c r="E407" s="38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16" t="str">
        <f>IF($L407&lt;&gt;"","Purpose "&amp;CHAR(10)&amp;$L407&amp;CHAR(10)&amp;CHAR(10),"")&amp;
IF($M407&lt;&gt;"","Stops (in order) "&amp;CHAR(10)&amp;$M407&amp;CHAR(10)&amp;CHAR(10),"")&amp;
IF($N407&lt;&gt;"","To-Do (hard requirements) "&amp;CHAR(10)&amp;$N407&amp;CHAR(10)&amp;CHAR(10),"")&amp;
IF($O407&lt;&gt;"","Suggested Timeline "&amp;CHAR(10)&amp;$O407&amp;CHAR(10)&amp;CHAR(10),"")&amp;
IF($P407&lt;&gt;"","Guardrails "&amp;CHAR(10)&amp;$P407&amp;CHAR(10)&amp;CHAR(10),"")&amp;
IF($Q407&lt;&gt;"","Completion signals "&amp;CHAR(10)&amp;$Q407,"")</f>
        <v/>
      </c>
      <c r="S407" s="25"/>
      <c r="T407" s="25"/>
      <c r="U407" s="8"/>
      <c r="V407" s="8" t="str">
        <f>_xlfn.SINGLE(IF($B407 = "", "", IF(_xlfn.SINGLE(_xlfn.TEXTJOIN(" | ", TRUE, IF($B407 = "", "Missing Title", ""), IF($C407 = "", "Missing Date", ""), IF($D407 = "", "Missing Start", ""), IF($E407 = "", "Missing End", ""), IF($G407 = "", "Missing Required Attendees", ""), IF($T407 = "", "Missing Status", ""), IF(AND($D407 &lt;&gt; "", $E407 &lt;&gt; "", $D407 &gt;= $E407), "Start&gt;=End", ""), IF(OR($R407 = "", LEN($R407) &lt; 60, ISNUMBER(MATCH(TRIM($R407), StatusList, 0))), "Body overwritten/short", ""))) = "", "OK", _xlfn.TEXTJOIN(" | ", TRUE, IF($B407 = "", "Missing Title", ""), IF($C407 = "", "Missing Date", ""), IF($D407 = "", "Missing Start", ""), IF($E407 = "", "Missing End", ""), IF($G407 = "", "Missing Required Attendees", ""), IF($T407 = "", "Missing Status", ""), IF(AND($D407 &lt;&gt; "", $E407 &lt;&gt; "", $D407 &gt;= $E407), "Start&gt;=End", ""), IF(OR($R407 = "", LEN($R407) &lt; 60, ISNUMBER(MATCH(TRIM($R407), StatusList, 0))), "Body overwritten/short", "")))))</f>
        <v/>
      </c>
    </row>
    <row r="408" spans="2:22" ht="12.75" customHeight="1">
      <c r="B408" s="25"/>
      <c r="C408" s="34"/>
      <c r="D408" s="38"/>
      <c r="E408" s="38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16" t="str">
        <f>IF($L408&lt;&gt;"","Purpose "&amp;CHAR(10)&amp;$L408&amp;CHAR(10)&amp;CHAR(10),"")&amp;
IF($M408&lt;&gt;"","Stops (in order) "&amp;CHAR(10)&amp;$M408&amp;CHAR(10)&amp;CHAR(10),"")&amp;
IF($N408&lt;&gt;"","To-Do (hard requirements) "&amp;CHAR(10)&amp;$N408&amp;CHAR(10)&amp;CHAR(10),"")&amp;
IF($O408&lt;&gt;"","Suggested Timeline "&amp;CHAR(10)&amp;$O408&amp;CHAR(10)&amp;CHAR(10),"")&amp;
IF($P408&lt;&gt;"","Guardrails "&amp;CHAR(10)&amp;$P408&amp;CHAR(10)&amp;CHAR(10),"")&amp;
IF($Q408&lt;&gt;"","Completion signals "&amp;CHAR(10)&amp;$Q408,"")</f>
        <v/>
      </c>
      <c r="S408" s="25"/>
      <c r="T408" s="25"/>
      <c r="U408" s="8"/>
      <c r="V408" s="8" t="str">
        <f>_xlfn.SINGLE(IF($B408 = "", "", IF(_xlfn.SINGLE(_xlfn.TEXTJOIN(" | ", TRUE, IF($B408 = "", "Missing Title", ""), IF($C408 = "", "Missing Date", ""), IF($D408 = "", "Missing Start", ""), IF($E408 = "", "Missing End", ""), IF($G408 = "", "Missing Required Attendees", ""), IF($T408 = "", "Missing Status", ""), IF(AND($D408 &lt;&gt; "", $E408 &lt;&gt; "", $D408 &gt;= $E408), "Start&gt;=End", ""), IF(OR($R408 = "", LEN($R408) &lt; 60, ISNUMBER(MATCH(TRIM($R408), StatusList, 0))), "Body overwritten/short", ""))) = "", "OK", _xlfn.TEXTJOIN(" | ", TRUE, IF($B408 = "", "Missing Title", ""), IF($C408 = "", "Missing Date", ""), IF($D408 = "", "Missing Start", ""), IF($E408 = "", "Missing End", ""), IF($G408 = "", "Missing Required Attendees", ""), IF($T408 = "", "Missing Status", ""), IF(AND($D408 &lt;&gt; "", $E408 &lt;&gt; "", $D408 &gt;= $E408), "Start&gt;=End", ""), IF(OR($R408 = "", LEN($R408) &lt; 60, ISNUMBER(MATCH(TRIM($R408), StatusList, 0))), "Body overwritten/short", "")))))</f>
        <v/>
      </c>
    </row>
    <row r="409" spans="2:22" ht="12.75" customHeight="1">
      <c r="B409" s="25"/>
      <c r="C409" s="34"/>
      <c r="D409" s="38"/>
      <c r="E409" s="38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16" t="str">
        <f>IF($L409&lt;&gt;"","Purpose "&amp;CHAR(10)&amp;$L409&amp;CHAR(10)&amp;CHAR(10),"")&amp;
IF($M409&lt;&gt;"","Stops (in order) "&amp;CHAR(10)&amp;$M409&amp;CHAR(10)&amp;CHAR(10),"")&amp;
IF($N409&lt;&gt;"","To-Do (hard requirements) "&amp;CHAR(10)&amp;$N409&amp;CHAR(10)&amp;CHAR(10),"")&amp;
IF($O409&lt;&gt;"","Suggested Timeline "&amp;CHAR(10)&amp;$O409&amp;CHAR(10)&amp;CHAR(10),"")&amp;
IF($P409&lt;&gt;"","Guardrails "&amp;CHAR(10)&amp;$P409&amp;CHAR(10)&amp;CHAR(10),"")&amp;
IF($Q409&lt;&gt;"","Completion signals "&amp;CHAR(10)&amp;$Q409,"")</f>
        <v/>
      </c>
      <c r="S409" s="25"/>
      <c r="T409" s="25"/>
      <c r="U409" s="8"/>
      <c r="V409" s="8" t="str">
        <f>_xlfn.SINGLE(IF($B409 = "", "", IF(_xlfn.SINGLE(_xlfn.TEXTJOIN(" | ", TRUE, IF($B409 = "", "Missing Title", ""), IF($C409 = "", "Missing Date", ""), IF($D409 = "", "Missing Start", ""), IF($E409 = "", "Missing End", ""), IF($G409 = "", "Missing Required Attendees", ""), IF($T409 = "", "Missing Status", ""), IF(AND($D409 &lt;&gt; "", $E409 &lt;&gt; "", $D409 &gt;= $E409), "Start&gt;=End", ""), IF(OR($R409 = "", LEN($R409) &lt; 60, ISNUMBER(MATCH(TRIM($R409), StatusList, 0))), "Body overwritten/short", ""))) = "", "OK", _xlfn.TEXTJOIN(" | ", TRUE, IF($B409 = "", "Missing Title", ""), IF($C409 = "", "Missing Date", ""), IF($D409 = "", "Missing Start", ""), IF($E409 = "", "Missing End", ""), IF($G409 = "", "Missing Required Attendees", ""), IF($T409 = "", "Missing Status", ""), IF(AND($D409 &lt;&gt; "", $E409 &lt;&gt; "", $D409 &gt;= $E409), "Start&gt;=End", ""), IF(OR($R409 = "", LEN($R409) &lt; 60, ISNUMBER(MATCH(TRIM($R409), StatusList, 0))), "Body overwritten/short", "")))))</f>
        <v/>
      </c>
    </row>
    <row r="410" spans="2:22" ht="12.75" customHeight="1">
      <c r="B410" s="25"/>
      <c r="C410" s="34"/>
      <c r="D410" s="38"/>
      <c r="E410" s="38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16" t="str">
        <f>IF($L410&lt;&gt;"","Purpose "&amp;CHAR(10)&amp;$L410&amp;CHAR(10)&amp;CHAR(10),"")&amp;
IF($M410&lt;&gt;"","Stops (in order) "&amp;CHAR(10)&amp;$M410&amp;CHAR(10)&amp;CHAR(10),"")&amp;
IF($N410&lt;&gt;"","To-Do (hard requirements) "&amp;CHAR(10)&amp;$N410&amp;CHAR(10)&amp;CHAR(10),"")&amp;
IF($O410&lt;&gt;"","Suggested Timeline "&amp;CHAR(10)&amp;$O410&amp;CHAR(10)&amp;CHAR(10),"")&amp;
IF($P410&lt;&gt;"","Guardrails "&amp;CHAR(10)&amp;$P410&amp;CHAR(10)&amp;CHAR(10),"")&amp;
IF($Q410&lt;&gt;"","Completion signals "&amp;CHAR(10)&amp;$Q410,"")</f>
        <v/>
      </c>
      <c r="S410" s="25"/>
      <c r="T410" s="25"/>
      <c r="U410" s="8"/>
      <c r="V410" s="8" t="str">
        <f>_xlfn.SINGLE(IF($B410 = "", "", IF(_xlfn.SINGLE(_xlfn.TEXTJOIN(" | ", TRUE, IF($B410 = "", "Missing Title", ""), IF($C410 = "", "Missing Date", ""), IF($D410 = "", "Missing Start", ""), IF($E410 = "", "Missing End", ""), IF($G410 = "", "Missing Required Attendees", ""), IF($T410 = "", "Missing Status", ""), IF(AND($D410 &lt;&gt; "", $E410 &lt;&gt; "", $D410 &gt;= $E410), "Start&gt;=End", ""), IF(OR($R410 = "", LEN($R410) &lt; 60, ISNUMBER(MATCH(TRIM($R410), StatusList, 0))), "Body overwritten/short", ""))) = "", "OK", _xlfn.TEXTJOIN(" | ", TRUE, IF($B410 = "", "Missing Title", ""), IF($C410 = "", "Missing Date", ""), IF($D410 = "", "Missing Start", ""), IF($E410 = "", "Missing End", ""), IF($G410 = "", "Missing Required Attendees", ""), IF($T410 = "", "Missing Status", ""), IF(AND($D410 &lt;&gt; "", $E410 &lt;&gt; "", $D410 &gt;= $E410), "Start&gt;=End", ""), IF(OR($R410 = "", LEN($R410) &lt; 60, ISNUMBER(MATCH(TRIM($R410), StatusList, 0))), "Body overwritten/short", "")))))</f>
        <v/>
      </c>
    </row>
    <row r="411" spans="2:22" ht="12.75" customHeight="1">
      <c r="B411" s="25"/>
      <c r="C411" s="34"/>
      <c r="D411" s="38"/>
      <c r="E411" s="38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16" t="str">
        <f>IF($L411&lt;&gt;"","Purpose "&amp;CHAR(10)&amp;$L411&amp;CHAR(10)&amp;CHAR(10),"")&amp;
IF($M411&lt;&gt;"","Stops (in order) "&amp;CHAR(10)&amp;$M411&amp;CHAR(10)&amp;CHAR(10),"")&amp;
IF($N411&lt;&gt;"","To-Do (hard requirements) "&amp;CHAR(10)&amp;$N411&amp;CHAR(10)&amp;CHAR(10),"")&amp;
IF($O411&lt;&gt;"","Suggested Timeline "&amp;CHAR(10)&amp;$O411&amp;CHAR(10)&amp;CHAR(10),"")&amp;
IF($P411&lt;&gt;"","Guardrails "&amp;CHAR(10)&amp;$P411&amp;CHAR(10)&amp;CHAR(10),"")&amp;
IF($Q411&lt;&gt;"","Completion signals "&amp;CHAR(10)&amp;$Q411,"")</f>
        <v/>
      </c>
      <c r="S411" s="25"/>
      <c r="T411" s="25"/>
      <c r="U411" s="8"/>
      <c r="V411" s="8" t="str">
        <f>_xlfn.SINGLE(IF($B411 = "", "", IF(_xlfn.SINGLE(_xlfn.TEXTJOIN(" | ", TRUE, IF($B411 = "", "Missing Title", ""), IF($C411 = "", "Missing Date", ""), IF($D411 = "", "Missing Start", ""), IF($E411 = "", "Missing End", ""), IF($G411 = "", "Missing Required Attendees", ""), IF($T411 = "", "Missing Status", ""), IF(AND($D411 &lt;&gt; "", $E411 &lt;&gt; "", $D411 &gt;= $E411), "Start&gt;=End", ""), IF(OR($R411 = "", LEN($R411) &lt; 60, ISNUMBER(MATCH(TRIM($R411), StatusList, 0))), "Body overwritten/short", ""))) = "", "OK", _xlfn.TEXTJOIN(" | ", TRUE, IF($B411 = "", "Missing Title", ""), IF($C411 = "", "Missing Date", ""), IF($D411 = "", "Missing Start", ""), IF($E411 = "", "Missing End", ""), IF($G411 = "", "Missing Required Attendees", ""), IF($T411 = "", "Missing Status", ""), IF(AND($D411 &lt;&gt; "", $E411 &lt;&gt; "", $D411 &gt;= $E411), "Start&gt;=End", ""), IF(OR($R411 = "", LEN($R411) &lt; 60, ISNUMBER(MATCH(TRIM($R411), StatusList, 0))), "Body overwritten/short", "")))))</f>
        <v/>
      </c>
    </row>
    <row r="412" spans="2:22" ht="12.75" customHeight="1">
      <c r="B412" s="25"/>
      <c r="C412" s="34"/>
      <c r="D412" s="38"/>
      <c r="E412" s="38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16" t="str">
        <f>IF($L412&lt;&gt;"","Purpose "&amp;CHAR(10)&amp;$L412&amp;CHAR(10)&amp;CHAR(10),"")&amp;
IF($M412&lt;&gt;"","Stops (in order) "&amp;CHAR(10)&amp;$M412&amp;CHAR(10)&amp;CHAR(10),"")&amp;
IF($N412&lt;&gt;"","To-Do (hard requirements) "&amp;CHAR(10)&amp;$N412&amp;CHAR(10)&amp;CHAR(10),"")&amp;
IF($O412&lt;&gt;"","Suggested Timeline "&amp;CHAR(10)&amp;$O412&amp;CHAR(10)&amp;CHAR(10),"")&amp;
IF($P412&lt;&gt;"","Guardrails "&amp;CHAR(10)&amp;$P412&amp;CHAR(10)&amp;CHAR(10),"")&amp;
IF($Q412&lt;&gt;"","Completion signals "&amp;CHAR(10)&amp;$Q412,"")</f>
        <v/>
      </c>
      <c r="S412" s="25"/>
      <c r="T412" s="25"/>
      <c r="U412" s="8"/>
      <c r="V412" s="8" t="str">
        <f>_xlfn.SINGLE(IF($B412 = "", "", IF(_xlfn.SINGLE(_xlfn.TEXTJOIN(" | ", TRUE, IF($B412 = "", "Missing Title", ""), IF($C412 = "", "Missing Date", ""), IF($D412 = "", "Missing Start", ""), IF($E412 = "", "Missing End", ""), IF($G412 = "", "Missing Required Attendees", ""), IF($T412 = "", "Missing Status", ""), IF(AND($D412 &lt;&gt; "", $E412 &lt;&gt; "", $D412 &gt;= $E412), "Start&gt;=End", ""), IF(OR($R412 = "", LEN($R412) &lt; 60, ISNUMBER(MATCH(TRIM($R412), StatusList, 0))), "Body overwritten/short", ""))) = "", "OK", _xlfn.TEXTJOIN(" | ", TRUE, IF($B412 = "", "Missing Title", ""), IF($C412 = "", "Missing Date", ""), IF($D412 = "", "Missing Start", ""), IF($E412 = "", "Missing End", ""), IF($G412 = "", "Missing Required Attendees", ""), IF($T412 = "", "Missing Status", ""), IF(AND($D412 &lt;&gt; "", $E412 &lt;&gt; "", $D412 &gt;= $E412), "Start&gt;=End", ""), IF(OR($R412 = "", LEN($R412) &lt; 60, ISNUMBER(MATCH(TRIM($R412), StatusList, 0))), "Body overwritten/short", "")))))</f>
        <v/>
      </c>
    </row>
    <row r="413" spans="2:22" ht="12.75" customHeight="1">
      <c r="B413" s="25"/>
      <c r="C413" s="34"/>
      <c r="D413" s="38"/>
      <c r="E413" s="38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16" t="str">
        <f>IF($L413&lt;&gt;"","Purpose "&amp;CHAR(10)&amp;$L413&amp;CHAR(10)&amp;CHAR(10),"")&amp;
IF($M413&lt;&gt;"","Stops (in order) "&amp;CHAR(10)&amp;$M413&amp;CHAR(10)&amp;CHAR(10),"")&amp;
IF($N413&lt;&gt;"","To-Do (hard requirements) "&amp;CHAR(10)&amp;$N413&amp;CHAR(10)&amp;CHAR(10),"")&amp;
IF($O413&lt;&gt;"","Suggested Timeline "&amp;CHAR(10)&amp;$O413&amp;CHAR(10)&amp;CHAR(10),"")&amp;
IF($P413&lt;&gt;"","Guardrails "&amp;CHAR(10)&amp;$P413&amp;CHAR(10)&amp;CHAR(10),"")&amp;
IF($Q413&lt;&gt;"","Completion signals "&amp;CHAR(10)&amp;$Q413,"")</f>
        <v/>
      </c>
      <c r="S413" s="25"/>
      <c r="T413" s="25"/>
      <c r="U413" s="8"/>
      <c r="V413" s="8" t="str">
        <f>_xlfn.SINGLE(IF($B413 = "", "", IF(_xlfn.SINGLE(_xlfn.TEXTJOIN(" | ", TRUE, IF($B413 = "", "Missing Title", ""), IF($C413 = "", "Missing Date", ""), IF($D413 = "", "Missing Start", ""), IF($E413 = "", "Missing End", ""), IF($G413 = "", "Missing Required Attendees", ""), IF($T413 = "", "Missing Status", ""), IF(AND($D413 &lt;&gt; "", $E413 &lt;&gt; "", $D413 &gt;= $E413), "Start&gt;=End", ""), IF(OR($R413 = "", LEN($R413) &lt; 60, ISNUMBER(MATCH(TRIM($R413), StatusList, 0))), "Body overwritten/short", ""))) = "", "OK", _xlfn.TEXTJOIN(" | ", TRUE, IF($B413 = "", "Missing Title", ""), IF($C413 = "", "Missing Date", ""), IF($D413 = "", "Missing Start", ""), IF($E413 = "", "Missing End", ""), IF($G413 = "", "Missing Required Attendees", ""), IF($T413 = "", "Missing Status", ""), IF(AND($D413 &lt;&gt; "", $E413 &lt;&gt; "", $D413 &gt;= $E413), "Start&gt;=End", ""), IF(OR($R413 = "", LEN($R413) &lt; 60, ISNUMBER(MATCH(TRIM($R413), StatusList, 0))), "Body overwritten/short", "")))))</f>
        <v/>
      </c>
    </row>
    <row r="414" spans="2:22" ht="12.75" customHeight="1">
      <c r="B414" s="25"/>
      <c r="C414" s="34"/>
      <c r="D414" s="38"/>
      <c r="E414" s="38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16" t="str">
        <f>IF($L414&lt;&gt;"","Purpose "&amp;CHAR(10)&amp;$L414&amp;CHAR(10)&amp;CHAR(10),"")&amp;
IF($M414&lt;&gt;"","Stops (in order) "&amp;CHAR(10)&amp;$M414&amp;CHAR(10)&amp;CHAR(10),"")&amp;
IF($N414&lt;&gt;"","To-Do (hard requirements) "&amp;CHAR(10)&amp;$N414&amp;CHAR(10)&amp;CHAR(10),"")&amp;
IF($O414&lt;&gt;"","Suggested Timeline "&amp;CHAR(10)&amp;$O414&amp;CHAR(10)&amp;CHAR(10),"")&amp;
IF($P414&lt;&gt;"","Guardrails "&amp;CHAR(10)&amp;$P414&amp;CHAR(10)&amp;CHAR(10),"")&amp;
IF($Q414&lt;&gt;"","Completion signals "&amp;CHAR(10)&amp;$Q414,"")</f>
        <v/>
      </c>
      <c r="S414" s="25"/>
      <c r="T414" s="25"/>
      <c r="U414" s="8"/>
      <c r="V414" s="8" t="str">
        <f>_xlfn.SINGLE(IF($B414 = "", "", IF(_xlfn.SINGLE(_xlfn.TEXTJOIN(" | ", TRUE, IF($B414 = "", "Missing Title", ""), IF($C414 = "", "Missing Date", ""), IF($D414 = "", "Missing Start", ""), IF($E414 = "", "Missing End", ""), IF($G414 = "", "Missing Required Attendees", ""), IF($T414 = "", "Missing Status", ""), IF(AND($D414 &lt;&gt; "", $E414 &lt;&gt; "", $D414 &gt;= $E414), "Start&gt;=End", ""), IF(OR($R414 = "", LEN($R414) &lt; 60, ISNUMBER(MATCH(TRIM($R414), StatusList, 0))), "Body overwritten/short", ""))) = "", "OK", _xlfn.TEXTJOIN(" | ", TRUE, IF($B414 = "", "Missing Title", ""), IF($C414 = "", "Missing Date", ""), IF($D414 = "", "Missing Start", ""), IF($E414 = "", "Missing End", ""), IF($G414 = "", "Missing Required Attendees", ""), IF($T414 = "", "Missing Status", ""), IF(AND($D414 &lt;&gt; "", $E414 &lt;&gt; "", $D414 &gt;= $E414), "Start&gt;=End", ""), IF(OR($R414 = "", LEN($R414) &lt; 60, ISNUMBER(MATCH(TRIM($R414), StatusList, 0))), "Body overwritten/short", "")))))</f>
        <v/>
      </c>
    </row>
    <row r="415" spans="2:22" ht="12.75" customHeight="1">
      <c r="B415" s="25"/>
      <c r="C415" s="34"/>
      <c r="D415" s="38"/>
      <c r="E415" s="38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16" t="str">
        <f>IF($L415&lt;&gt;"","Purpose "&amp;CHAR(10)&amp;$L415&amp;CHAR(10)&amp;CHAR(10),"")&amp;
IF($M415&lt;&gt;"","Stops (in order) "&amp;CHAR(10)&amp;$M415&amp;CHAR(10)&amp;CHAR(10),"")&amp;
IF($N415&lt;&gt;"","To-Do (hard requirements) "&amp;CHAR(10)&amp;$N415&amp;CHAR(10)&amp;CHAR(10),"")&amp;
IF($O415&lt;&gt;"","Suggested Timeline "&amp;CHAR(10)&amp;$O415&amp;CHAR(10)&amp;CHAR(10),"")&amp;
IF($P415&lt;&gt;"","Guardrails "&amp;CHAR(10)&amp;$P415&amp;CHAR(10)&amp;CHAR(10),"")&amp;
IF($Q415&lt;&gt;"","Completion signals "&amp;CHAR(10)&amp;$Q415,"")</f>
        <v/>
      </c>
      <c r="S415" s="25"/>
      <c r="T415" s="25"/>
      <c r="U415" s="8"/>
      <c r="V415" s="8" t="str">
        <f>_xlfn.SINGLE(IF($B415 = "", "", IF(_xlfn.SINGLE(_xlfn.TEXTJOIN(" | ", TRUE, IF($B415 = "", "Missing Title", ""), IF($C415 = "", "Missing Date", ""), IF($D415 = "", "Missing Start", ""), IF($E415 = "", "Missing End", ""), IF($G415 = "", "Missing Required Attendees", ""), IF($T415 = "", "Missing Status", ""), IF(AND($D415 &lt;&gt; "", $E415 &lt;&gt; "", $D415 &gt;= $E415), "Start&gt;=End", ""), IF(OR($R415 = "", LEN($R415) &lt; 60, ISNUMBER(MATCH(TRIM($R415), StatusList, 0))), "Body overwritten/short", ""))) = "", "OK", _xlfn.TEXTJOIN(" | ", TRUE, IF($B415 = "", "Missing Title", ""), IF($C415 = "", "Missing Date", ""), IF($D415 = "", "Missing Start", ""), IF($E415 = "", "Missing End", ""), IF($G415 = "", "Missing Required Attendees", ""), IF($T415 = "", "Missing Status", ""), IF(AND($D415 &lt;&gt; "", $E415 &lt;&gt; "", $D415 &gt;= $E415), "Start&gt;=End", ""), IF(OR($R415 = "", LEN($R415) &lt; 60, ISNUMBER(MATCH(TRIM($R415), StatusList, 0))), "Body overwritten/short", "")))))</f>
        <v/>
      </c>
    </row>
    <row r="416" spans="2:22" ht="12.75" customHeight="1">
      <c r="B416" s="25"/>
      <c r="C416" s="34"/>
      <c r="D416" s="38"/>
      <c r="E416" s="38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16" t="str">
        <f>IF($L416&lt;&gt;"","Purpose "&amp;CHAR(10)&amp;$L416&amp;CHAR(10)&amp;CHAR(10),"")&amp;
IF($M416&lt;&gt;"","Stops (in order) "&amp;CHAR(10)&amp;$M416&amp;CHAR(10)&amp;CHAR(10),"")&amp;
IF($N416&lt;&gt;"","To-Do (hard requirements) "&amp;CHAR(10)&amp;$N416&amp;CHAR(10)&amp;CHAR(10),"")&amp;
IF($O416&lt;&gt;"","Suggested Timeline "&amp;CHAR(10)&amp;$O416&amp;CHAR(10)&amp;CHAR(10),"")&amp;
IF($P416&lt;&gt;"","Guardrails "&amp;CHAR(10)&amp;$P416&amp;CHAR(10)&amp;CHAR(10),"")&amp;
IF($Q416&lt;&gt;"","Completion signals "&amp;CHAR(10)&amp;$Q416,"")</f>
        <v/>
      </c>
      <c r="S416" s="25"/>
      <c r="T416" s="25"/>
      <c r="U416" s="8"/>
      <c r="V416" s="8" t="str">
        <f>_xlfn.SINGLE(IF($B416 = "", "", IF(_xlfn.SINGLE(_xlfn.TEXTJOIN(" | ", TRUE, IF($B416 = "", "Missing Title", ""), IF($C416 = "", "Missing Date", ""), IF($D416 = "", "Missing Start", ""), IF($E416 = "", "Missing End", ""), IF($G416 = "", "Missing Required Attendees", ""), IF($T416 = "", "Missing Status", ""), IF(AND($D416 &lt;&gt; "", $E416 &lt;&gt; "", $D416 &gt;= $E416), "Start&gt;=End", ""), IF(OR($R416 = "", LEN($R416) &lt; 60, ISNUMBER(MATCH(TRIM($R416), StatusList, 0))), "Body overwritten/short", ""))) = "", "OK", _xlfn.TEXTJOIN(" | ", TRUE, IF($B416 = "", "Missing Title", ""), IF($C416 = "", "Missing Date", ""), IF($D416 = "", "Missing Start", ""), IF($E416 = "", "Missing End", ""), IF($G416 = "", "Missing Required Attendees", ""), IF($T416 = "", "Missing Status", ""), IF(AND($D416 &lt;&gt; "", $E416 &lt;&gt; "", $D416 &gt;= $E416), "Start&gt;=End", ""), IF(OR($R416 = "", LEN($R416) &lt; 60, ISNUMBER(MATCH(TRIM($R416), StatusList, 0))), "Body overwritten/short", "")))))</f>
        <v/>
      </c>
    </row>
    <row r="417" spans="2:22" ht="12.75" customHeight="1">
      <c r="B417" s="25"/>
      <c r="C417" s="34"/>
      <c r="D417" s="38"/>
      <c r="E417" s="38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16" t="str">
        <f>IF($L417&lt;&gt;"","Purpose "&amp;CHAR(10)&amp;$L417&amp;CHAR(10)&amp;CHAR(10),"")&amp;
IF($M417&lt;&gt;"","Stops (in order) "&amp;CHAR(10)&amp;$M417&amp;CHAR(10)&amp;CHAR(10),"")&amp;
IF($N417&lt;&gt;"","To-Do (hard requirements) "&amp;CHAR(10)&amp;$N417&amp;CHAR(10)&amp;CHAR(10),"")&amp;
IF($O417&lt;&gt;"","Suggested Timeline "&amp;CHAR(10)&amp;$O417&amp;CHAR(10)&amp;CHAR(10),"")&amp;
IF($P417&lt;&gt;"","Guardrails "&amp;CHAR(10)&amp;$P417&amp;CHAR(10)&amp;CHAR(10),"")&amp;
IF($Q417&lt;&gt;"","Completion signals "&amp;CHAR(10)&amp;$Q417,"")</f>
        <v/>
      </c>
      <c r="S417" s="25"/>
      <c r="T417" s="25"/>
      <c r="U417" s="8"/>
      <c r="V417" s="8" t="str">
        <f>_xlfn.SINGLE(IF($B417 = "", "", IF(_xlfn.SINGLE(_xlfn.TEXTJOIN(" | ", TRUE, IF($B417 = "", "Missing Title", ""), IF($C417 = "", "Missing Date", ""), IF($D417 = "", "Missing Start", ""), IF($E417 = "", "Missing End", ""), IF($G417 = "", "Missing Required Attendees", ""), IF($T417 = "", "Missing Status", ""), IF(AND($D417 &lt;&gt; "", $E417 &lt;&gt; "", $D417 &gt;= $E417), "Start&gt;=End", ""), IF(OR($R417 = "", LEN($R417) &lt; 60, ISNUMBER(MATCH(TRIM($R417), StatusList, 0))), "Body overwritten/short", ""))) = "", "OK", _xlfn.TEXTJOIN(" | ", TRUE, IF($B417 = "", "Missing Title", ""), IF($C417 = "", "Missing Date", ""), IF($D417 = "", "Missing Start", ""), IF($E417 = "", "Missing End", ""), IF($G417 = "", "Missing Required Attendees", ""), IF($T417 = "", "Missing Status", ""), IF(AND($D417 &lt;&gt; "", $E417 &lt;&gt; "", $D417 &gt;= $E417), "Start&gt;=End", ""), IF(OR($R417 = "", LEN($R417) &lt; 60, ISNUMBER(MATCH(TRIM($R417), StatusList, 0))), "Body overwritten/short", "")))))</f>
        <v/>
      </c>
    </row>
    <row r="418" spans="2:22" ht="12.75" customHeight="1">
      <c r="B418" s="25"/>
      <c r="C418" s="34"/>
      <c r="D418" s="38"/>
      <c r="E418" s="38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16" t="str">
        <f>IF($L418&lt;&gt;"","Purpose "&amp;CHAR(10)&amp;$L418&amp;CHAR(10)&amp;CHAR(10),"")&amp;
IF($M418&lt;&gt;"","Stops (in order) "&amp;CHAR(10)&amp;$M418&amp;CHAR(10)&amp;CHAR(10),"")&amp;
IF($N418&lt;&gt;"","To-Do (hard requirements) "&amp;CHAR(10)&amp;$N418&amp;CHAR(10)&amp;CHAR(10),"")&amp;
IF($O418&lt;&gt;"","Suggested Timeline "&amp;CHAR(10)&amp;$O418&amp;CHAR(10)&amp;CHAR(10),"")&amp;
IF($P418&lt;&gt;"","Guardrails "&amp;CHAR(10)&amp;$P418&amp;CHAR(10)&amp;CHAR(10),"")&amp;
IF($Q418&lt;&gt;"","Completion signals "&amp;CHAR(10)&amp;$Q418,"")</f>
        <v/>
      </c>
      <c r="S418" s="25"/>
      <c r="T418" s="25"/>
      <c r="U418" s="8"/>
      <c r="V418" s="8" t="str">
        <f>_xlfn.SINGLE(IF($B418 = "", "", IF(_xlfn.SINGLE(_xlfn.TEXTJOIN(" | ", TRUE, IF($B418 = "", "Missing Title", ""), IF($C418 = "", "Missing Date", ""), IF($D418 = "", "Missing Start", ""), IF($E418 = "", "Missing End", ""), IF($G418 = "", "Missing Required Attendees", ""), IF($T418 = "", "Missing Status", ""), IF(AND($D418 &lt;&gt; "", $E418 &lt;&gt; "", $D418 &gt;= $E418), "Start&gt;=End", ""), IF(OR($R418 = "", LEN($R418) &lt; 60, ISNUMBER(MATCH(TRIM($R418), StatusList, 0))), "Body overwritten/short", ""))) = "", "OK", _xlfn.TEXTJOIN(" | ", TRUE, IF($B418 = "", "Missing Title", ""), IF($C418 = "", "Missing Date", ""), IF($D418 = "", "Missing Start", ""), IF($E418 = "", "Missing End", ""), IF($G418 = "", "Missing Required Attendees", ""), IF($T418 = "", "Missing Status", ""), IF(AND($D418 &lt;&gt; "", $E418 &lt;&gt; "", $D418 &gt;= $E418), "Start&gt;=End", ""), IF(OR($R418 = "", LEN($R418) &lt; 60, ISNUMBER(MATCH(TRIM($R418), StatusList, 0))), "Body overwritten/short", "")))))</f>
        <v/>
      </c>
    </row>
    <row r="419" spans="2:22" ht="12.75" customHeight="1">
      <c r="B419" s="25"/>
      <c r="C419" s="34"/>
      <c r="D419" s="38"/>
      <c r="E419" s="38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16" t="str">
        <f>IF($L419&lt;&gt;"","Purpose "&amp;CHAR(10)&amp;$L419&amp;CHAR(10)&amp;CHAR(10),"")&amp;
IF($M419&lt;&gt;"","Stops (in order) "&amp;CHAR(10)&amp;$M419&amp;CHAR(10)&amp;CHAR(10),"")&amp;
IF($N419&lt;&gt;"","To-Do (hard requirements) "&amp;CHAR(10)&amp;$N419&amp;CHAR(10)&amp;CHAR(10),"")&amp;
IF($O419&lt;&gt;"","Suggested Timeline "&amp;CHAR(10)&amp;$O419&amp;CHAR(10)&amp;CHAR(10),"")&amp;
IF($P419&lt;&gt;"","Guardrails "&amp;CHAR(10)&amp;$P419&amp;CHAR(10)&amp;CHAR(10),"")&amp;
IF($Q419&lt;&gt;"","Completion signals "&amp;CHAR(10)&amp;$Q419,"")</f>
        <v/>
      </c>
      <c r="S419" s="25"/>
      <c r="T419" s="25"/>
      <c r="U419" s="8"/>
      <c r="V419" s="8" t="str">
        <f>_xlfn.SINGLE(IF($B419 = "", "", IF(_xlfn.SINGLE(_xlfn.TEXTJOIN(" | ", TRUE, IF($B419 = "", "Missing Title", ""), IF($C419 = "", "Missing Date", ""), IF($D419 = "", "Missing Start", ""), IF($E419 = "", "Missing End", ""), IF($G419 = "", "Missing Required Attendees", ""), IF($T419 = "", "Missing Status", ""), IF(AND($D419 &lt;&gt; "", $E419 &lt;&gt; "", $D419 &gt;= $E419), "Start&gt;=End", ""), IF(OR($R419 = "", LEN($R419) &lt; 60, ISNUMBER(MATCH(TRIM($R419), StatusList, 0))), "Body overwritten/short", ""))) = "", "OK", _xlfn.TEXTJOIN(" | ", TRUE, IF($B419 = "", "Missing Title", ""), IF($C419 = "", "Missing Date", ""), IF($D419 = "", "Missing Start", ""), IF($E419 = "", "Missing End", ""), IF($G419 = "", "Missing Required Attendees", ""), IF($T419 = "", "Missing Status", ""), IF(AND($D419 &lt;&gt; "", $E419 &lt;&gt; "", $D419 &gt;= $E419), "Start&gt;=End", ""), IF(OR($R419 = "", LEN($R419) &lt; 60, ISNUMBER(MATCH(TRIM($R419), StatusList, 0))), "Body overwritten/short", "")))))</f>
        <v/>
      </c>
    </row>
    <row r="420" spans="2:22" ht="12.75" customHeight="1">
      <c r="B420" s="25"/>
      <c r="C420" s="34"/>
      <c r="D420" s="38"/>
      <c r="E420" s="38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16" t="str">
        <f>IF($L420&lt;&gt;"","Purpose "&amp;CHAR(10)&amp;$L420&amp;CHAR(10)&amp;CHAR(10),"")&amp;
IF($M420&lt;&gt;"","Stops (in order) "&amp;CHAR(10)&amp;$M420&amp;CHAR(10)&amp;CHAR(10),"")&amp;
IF($N420&lt;&gt;"","To-Do (hard requirements) "&amp;CHAR(10)&amp;$N420&amp;CHAR(10)&amp;CHAR(10),"")&amp;
IF($O420&lt;&gt;"","Suggested Timeline "&amp;CHAR(10)&amp;$O420&amp;CHAR(10)&amp;CHAR(10),"")&amp;
IF($P420&lt;&gt;"","Guardrails "&amp;CHAR(10)&amp;$P420&amp;CHAR(10)&amp;CHAR(10),"")&amp;
IF($Q420&lt;&gt;"","Completion signals "&amp;CHAR(10)&amp;$Q420,"")</f>
        <v/>
      </c>
      <c r="S420" s="25"/>
      <c r="T420" s="25"/>
      <c r="U420" s="8"/>
      <c r="V420" s="8" t="str">
        <f>_xlfn.SINGLE(IF($B420 = "", "", IF(_xlfn.SINGLE(_xlfn.TEXTJOIN(" | ", TRUE, IF($B420 = "", "Missing Title", ""), IF($C420 = "", "Missing Date", ""), IF($D420 = "", "Missing Start", ""), IF($E420 = "", "Missing End", ""), IF($G420 = "", "Missing Required Attendees", ""), IF($T420 = "", "Missing Status", ""), IF(AND($D420 &lt;&gt; "", $E420 &lt;&gt; "", $D420 &gt;= $E420), "Start&gt;=End", ""), IF(OR($R420 = "", LEN($R420) &lt; 60, ISNUMBER(MATCH(TRIM($R420), StatusList, 0))), "Body overwritten/short", ""))) = "", "OK", _xlfn.TEXTJOIN(" | ", TRUE, IF($B420 = "", "Missing Title", ""), IF($C420 = "", "Missing Date", ""), IF($D420 = "", "Missing Start", ""), IF($E420 = "", "Missing End", ""), IF($G420 = "", "Missing Required Attendees", ""), IF($T420 = "", "Missing Status", ""), IF(AND($D420 &lt;&gt; "", $E420 &lt;&gt; "", $D420 &gt;= $E420), "Start&gt;=End", ""), IF(OR($R420 = "", LEN($R420) &lt; 60, ISNUMBER(MATCH(TRIM($R420), StatusList, 0))), "Body overwritten/short", "")))))</f>
        <v/>
      </c>
    </row>
    <row r="421" spans="2:22" ht="12.75" customHeight="1">
      <c r="B421" s="25"/>
      <c r="C421" s="34"/>
      <c r="D421" s="38"/>
      <c r="E421" s="38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16" t="str">
        <f>IF($L421&lt;&gt;"","Purpose "&amp;CHAR(10)&amp;$L421&amp;CHAR(10)&amp;CHAR(10),"")&amp;
IF($M421&lt;&gt;"","Stops (in order) "&amp;CHAR(10)&amp;$M421&amp;CHAR(10)&amp;CHAR(10),"")&amp;
IF($N421&lt;&gt;"","To-Do (hard requirements) "&amp;CHAR(10)&amp;$N421&amp;CHAR(10)&amp;CHAR(10),"")&amp;
IF($O421&lt;&gt;"","Suggested Timeline "&amp;CHAR(10)&amp;$O421&amp;CHAR(10)&amp;CHAR(10),"")&amp;
IF($P421&lt;&gt;"","Guardrails "&amp;CHAR(10)&amp;$P421&amp;CHAR(10)&amp;CHAR(10),"")&amp;
IF($Q421&lt;&gt;"","Completion signals "&amp;CHAR(10)&amp;$Q421,"")</f>
        <v/>
      </c>
      <c r="S421" s="25"/>
      <c r="T421" s="25"/>
      <c r="U421" s="8"/>
      <c r="V421" s="8" t="str">
        <f>_xlfn.SINGLE(IF($B421 = "", "", IF(_xlfn.SINGLE(_xlfn.TEXTJOIN(" | ", TRUE, IF($B421 = "", "Missing Title", ""), IF($C421 = "", "Missing Date", ""), IF($D421 = "", "Missing Start", ""), IF($E421 = "", "Missing End", ""), IF($G421 = "", "Missing Required Attendees", ""), IF($T421 = "", "Missing Status", ""), IF(AND($D421 &lt;&gt; "", $E421 &lt;&gt; "", $D421 &gt;= $E421), "Start&gt;=End", ""), IF(OR($R421 = "", LEN($R421) &lt; 60, ISNUMBER(MATCH(TRIM($R421), StatusList, 0))), "Body overwritten/short", ""))) = "", "OK", _xlfn.TEXTJOIN(" | ", TRUE, IF($B421 = "", "Missing Title", ""), IF($C421 = "", "Missing Date", ""), IF($D421 = "", "Missing Start", ""), IF($E421 = "", "Missing End", ""), IF($G421 = "", "Missing Required Attendees", ""), IF($T421 = "", "Missing Status", ""), IF(AND($D421 &lt;&gt; "", $E421 &lt;&gt; "", $D421 &gt;= $E421), "Start&gt;=End", ""), IF(OR($R421 = "", LEN($R421) &lt; 60, ISNUMBER(MATCH(TRIM($R421), StatusList, 0))), "Body overwritten/short", "")))))</f>
        <v/>
      </c>
    </row>
    <row r="422" spans="2:22" ht="12.75" customHeight="1">
      <c r="B422" s="25"/>
      <c r="C422" s="34"/>
      <c r="D422" s="38"/>
      <c r="E422" s="38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16" t="str">
        <f>IF($L422&lt;&gt;"","Purpose "&amp;CHAR(10)&amp;$L422&amp;CHAR(10)&amp;CHAR(10),"")&amp;
IF($M422&lt;&gt;"","Stops (in order) "&amp;CHAR(10)&amp;$M422&amp;CHAR(10)&amp;CHAR(10),"")&amp;
IF($N422&lt;&gt;"","To-Do (hard requirements) "&amp;CHAR(10)&amp;$N422&amp;CHAR(10)&amp;CHAR(10),"")&amp;
IF($O422&lt;&gt;"","Suggested Timeline "&amp;CHAR(10)&amp;$O422&amp;CHAR(10)&amp;CHAR(10),"")&amp;
IF($P422&lt;&gt;"","Guardrails "&amp;CHAR(10)&amp;$P422&amp;CHAR(10)&amp;CHAR(10),"")&amp;
IF($Q422&lt;&gt;"","Completion signals "&amp;CHAR(10)&amp;$Q422,"")</f>
        <v/>
      </c>
      <c r="S422" s="25"/>
      <c r="T422" s="25"/>
      <c r="U422" s="8"/>
      <c r="V422" s="8" t="str">
        <f>_xlfn.SINGLE(IF($B422 = "", "", IF(_xlfn.SINGLE(_xlfn.TEXTJOIN(" | ", TRUE, IF($B422 = "", "Missing Title", ""), IF($C422 = "", "Missing Date", ""), IF($D422 = "", "Missing Start", ""), IF($E422 = "", "Missing End", ""), IF($G422 = "", "Missing Required Attendees", ""), IF($T422 = "", "Missing Status", ""), IF(AND($D422 &lt;&gt; "", $E422 &lt;&gt; "", $D422 &gt;= $E422), "Start&gt;=End", ""), IF(OR($R422 = "", LEN($R422) &lt; 60, ISNUMBER(MATCH(TRIM($R422), StatusList, 0))), "Body overwritten/short", ""))) = "", "OK", _xlfn.TEXTJOIN(" | ", TRUE, IF($B422 = "", "Missing Title", ""), IF($C422 = "", "Missing Date", ""), IF($D422 = "", "Missing Start", ""), IF($E422 = "", "Missing End", ""), IF($G422 = "", "Missing Required Attendees", ""), IF($T422 = "", "Missing Status", ""), IF(AND($D422 &lt;&gt; "", $E422 &lt;&gt; "", $D422 &gt;= $E422), "Start&gt;=End", ""), IF(OR($R422 = "", LEN($R422) &lt; 60, ISNUMBER(MATCH(TRIM($R422), StatusList, 0))), "Body overwritten/short", "")))))</f>
        <v/>
      </c>
    </row>
    <row r="423" spans="2:22" ht="12.75" customHeight="1">
      <c r="B423" s="25"/>
      <c r="C423" s="34"/>
      <c r="D423" s="38"/>
      <c r="E423" s="38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16" t="str">
        <f>IF($L423&lt;&gt;"","Purpose "&amp;CHAR(10)&amp;$L423&amp;CHAR(10)&amp;CHAR(10),"")&amp;
IF($M423&lt;&gt;"","Stops (in order) "&amp;CHAR(10)&amp;$M423&amp;CHAR(10)&amp;CHAR(10),"")&amp;
IF($N423&lt;&gt;"","To-Do (hard requirements) "&amp;CHAR(10)&amp;$N423&amp;CHAR(10)&amp;CHAR(10),"")&amp;
IF($O423&lt;&gt;"","Suggested Timeline "&amp;CHAR(10)&amp;$O423&amp;CHAR(10)&amp;CHAR(10),"")&amp;
IF($P423&lt;&gt;"","Guardrails "&amp;CHAR(10)&amp;$P423&amp;CHAR(10)&amp;CHAR(10),"")&amp;
IF($Q423&lt;&gt;"","Completion signals "&amp;CHAR(10)&amp;$Q423,"")</f>
        <v/>
      </c>
      <c r="S423" s="25"/>
      <c r="T423" s="25"/>
      <c r="U423" s="8"/>
      <c r="V423" s="8" t="str">
        <f>_xlfn.SINGLE(IF($B423 = "", "", IF(_xlfn.SINGLE(_xlfn.TEXTJOIN(" | ", TRUE, IF($B423 = "", "Missing Title", ""), IF($C423 = "", "Missing Date", ""), IF($D423 = "", "Missing Start", ""), IF($E423 = "", "Missing End", ""), IF($G423 = "", "Missing Required Attendees", ""), IF($T423 = "", "Missing Status", ""), IF(AND($D423 &lt;&gt; "", $E423 &lt;&gt; "", $D423 &gt;= $E423), "Start&gt;=End", ""), IF(OR($R423 = "", LEN($R423) &lt; 60, ISNUMBER(MATCH(TRIM($R423), StatusList, 0))), "Body overwritten/short", ""))) = "", "OK", _xlfn.TEXTJOIN(" | ", TRUE, IF($B423 = "", "Missing Title", ""), IF($C423 = "", "Missing Date", ""), IF($D423 = "", "Missing Start", ""), IF($E423 = "", "Missing End", ""), IF($G423 = "", "Missing Required Attendees", ""), IF($T423 = "", "Missing Status", ""), IF(AND($D423 &lt;&gt; "", $E423 &lt;&gt; "", $D423 &gt;= $E423), "Start&gt;=End", ""), IF(OR($R423 = "", LEN($R423) &lt; 60, ISNUMBER(MATCH(TRIM($R423), StatusList, 0))), "Body overwritten/short", "")))))</f>
        <v/>
      </c>
    </row>
    <row r="424" spans="2:22" ht="12.75" customHeight="1">
      <c r="B424" s="25"/>
      <c r="C424" s="34"/>
      <c r="D424" s="38"/>
      <c r="E424" s="38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16" t="str">
        <f>IF($L424&lt;&gt;"","Purpose "&amp;CHAR(10)&amp;$L424&amp;CHAR(10)&amp;CHAR(10),"")&amp;
IF($M424&lt;&gt;"","Stops (in order) "&amp;CHAR(10)&amp;$M424&amp;CHAR(10)&amp;CHAR(10),"")&amp;
IF($N424&lt;&gt;"","To-Do (hard requirements) "&amp;CHAR(10)&amp;$N424&amp;CHAR(10)&amp;CHAR(10),"")&amp;
IF($O424&lt;&gt;"","Suggested Timeline "&amp;CHAR(10)&amp;$O424&amp;CHAR(10)&amp;CHAR(10),"")&amp;
IF($P424&lt;&gt;"","Guardrails "&amp;CHAR(10)&amp;$P424&amp;CHAR(10)&amp;CHAR(10),"")&amp;
IF($Q424&lt;&gt;"","Completion signals "&amp;CHAR(10)&amp;$Q424,"")</f>
        <v/>
      </c>
      <c r="S424" s="25"/>
      <c r="T424" s="25"/>
      <c r="U424" s="8"/>
      <c r="V424" s="8" t="str">
        <f>_xlfn.SINGLE(IF($B424 = "", "", IF(_xlfn.SINGLE(_xlfn.TEXTJOIN(" | ", TRUE, IF($B424 = "", "Missing Title", ""), IF($C424 = "", "Missing Date", ""), IF($D424 = "", "Missing Start", ""), IF($E424 = "", "Missing End", ""), IF($G424 = "", "Missing Required Attendees", ""), IF($T424 = "", "Missing Status", ""), IF(AND($D424 &lt;&gt; "", $E424 &lt;&gt; "", $D424 &gt;= $E424), "Start&gt;=End", ""), IF(OR($R424 = "", LEN($R424) &lt; 60, ISNUMBER(MATCH(TRIM($R424), StatusList, 0))), "Body overwritten/short", ""))) = "", "OK", _xlfn.TEXTJOIN(" | ", TRUE, IF($B424 = "", "Missing Title", ""), IF($C424 = "", "Missing Date", ""), IF($D424 = "", "Missing Start", ""), IF($E424 = "", "Missing End", ""), IF($G424 = "", "Missing Required Attendees", ""), IF($T424 = "", "Missing Status", ""), IF(AND($D424 &lt;&gt; "", $E424 &lt;&gt; "", $D424 &gt;= $E424), "Start&gt;=End", ""), IF(OR($R424 = "", LEN($R424) &lt; 60, ISNUMBER(MATCH(TRIM($R424), StatusList, 0))), "Body overwritten/short", "")))))</f>
        <v/>
      </c>
    </row>
    <row r="425" spans="2:22" ht="12.75" customHeight="1">
      <c r="B425" s="25"/>
      <c r="C425" s="34"/>
      <c r="D425" s="38"/>
      <c r="E425" s="38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16" t="str">
        <f>IF($L425&lt;&gt;"","Purpose "&amp;CHAR(10)&amp;$L425&amp;CHAR(10)&amp;CHAR(10),"")&amp;
IF($M425&lt;&gt;"","Stops (in order) "&amp;CHAR(10)&amp;$M425&amp;CHAR(10)&amp;CHAR(10),"")&amp;
IF($N425&lt;&gt;"","To-Do (hard requirements) "&amp;CHAR(10)&amp;$N425&amp;CHAR(10)&amp;CHAR(10),"")&amp;
IF($O425&lt;&gt;"","Suggested Timeline "&amp;CHAR(10)&amp;$O425&amp;CHAR(10)&amp;CHAR(10),"")&amp;
IF($P425&lt;&gt;"","Guardrails "&amp;CHAR(10)&amp;$P425&amp;CHAR(10)&amp;CHAR(10),"")&amp;
IF($Q425&lt;&gt;"","Completion signals "&amp;CHAR(10)&amp;$Q425,"")</f>
        <v/>
      </c>
      <c r="S425" s="25"/>
      <c r="T425" s="25"/>
      <c r="U425" s="8"/>
      <c r="V425" s="8" t="str">
        <f>_xlfn.SINGLE(IF($B425 = "", "", IF(_xlfn.SINGLE(_xlfn.TEXTJOIN(" | ", TRUE, IF($B425 = "", "Missing Title", ""), IF($C425 = "", "Missing Date", ""), IF($D425 = "", "Missing Start", ""), IF($E425 = "", "Missing End", ""), IF($G425 = "", "Missing Required Attendees", ""), IF($T425 = "", "Missing Status", ""), IF(AND($D425 &lt;&gt; "", $E425 &lt;&gt; "", $D425 &gt;= $E425), "Start&gt;=End", ""), IF(OR($R425 = "", LEN($R425) &lt; 60, ISNUMBER(MATCH(TRIM($R425), StatusList, 0))), "Body overwritten/short", ""))) = "", "OK", _xlfn.TEXTJOIN(" | ", TRUE, IF($B425 = "", "Missing Title", ""), IF($C425 = "", "Missing Date", ""), IF($D425 = "", "Missing Start", ""), IF($E425 = "", "Missing End", ""), IF($G425 = "", "Missing Required Attendees", ""), IF($T425 = "", "Missing Status", ""), IF(AND($D425 &lt;&gt; "", $E425 &lt;&gt; "", $D425 &gt;= $E425), "Start&gt;=End", ""), IF(OR($R425 = "", LEN($R425) &lt; 60, ISNUMBER(MATCH(TRIM($R425), StatusList, 0))), "Body overwritten/short", "")))))</f>
        <v/>
      </c>
    </row>
    <row r="426" spans="2:22" ht="12.75" customHeight="1">
      <c r="B426" s="25"/>
      <c r="C426" s="34"/>
      <c r="D426" s="38"/>
      <c r="E426" s="38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16" t="str">
        <f>IF($L426&lt;&gt;"","Purpose "&amp;CHAR(10)&amp;$L426&amp;CHAR(10)&amp;CHAR(10),"")&amp;
IF($M426&lt;&gt;"","Stops (in order) "&amp;CHAR(10)&amp;$M426&amp;CHAR(10)&amp;CHAR(10),"")&amp;
IF($N426&lt;&gt;"","To-Do (hard requirements) "&amp;CHAR(10)&amp;$N426&amp;CHAR(10)&amp;CHAR(10),"")&amp;
IF($O426&lt;&gt;"","Suggested Timeline "&amp;CHAR(10)&amp;$O426&amp;CHAR(10)&amp;CHAR(10),"")&amp;
IF($P426&lt;&gt;"","Guardrails "&amp;CHAR(10)&amp;$P426&amp;CHAR(10)&amp;CHAR(10),"")&amp;
IF($Q426&lt;&gt;"","Completion signals "&amp;CHAR(10)&amp;$Q426,"")</f>
        <v/>
      </c>
      <c r="S426" s="25"/>
      <c r="T426" s="25"/>
      <c r="U426" s="8"/>
      <c r="V426" s="8" t="str">
        <f>_xlfn.SINGLE(IF($B426 = "", "", IF(_xlfn.SINGLE(_xlfn.TEXTJOIN(" | ", TRUE, IF($B426 = "", "Missing Title", ""), IF($C426 = "", "Missing Date", ""), IF($D426 = "", "Missing Start", ""), IF($E426 = "", "Missing End", ""), IF($G426 = "", "Missing Required Attendees", ""), IF($T426 = "", "Missing Status", ""), IF(AND($D426 &lt;&gt; "", $E426 &lt;&gt; "", $D426 &gt;= $E426), "Start&gt;=End", ""), IF(OR($R426 = "", LEN($R426) &lt; 60, ISNUMBER(MATCH(TRIM($R426), StatusList, 0))), "Body overwritten/short", ""))) = "", "OK", _xlfn.TEXTJOIN(" | ", TRUE, IF($B426 = "", "Missing Title", ""), IF($C426 = "", "Missing Date", ""), IF($D426 = "", "Missing Start", ""), IF($E426 = "", "Missing End", ""), IF($G426 = "", "Missing Required Attendees", ""), IF($T426 = "", "Missing Status", ""), IF(AND($D426 &lt;&gt; "", $E426 &lt;&gt; "", $D426 &gt;= $E426), "Start&gt;=End", ""), IF(OR($R426 = "", LEN($R426) &lt; 60, ISNUMBER(MATCH(TRIM($R426), StatusList, 0))), "Body overwritten/short", "")))))</f>
        <v/>
      </c>
    </row>
    <row r="427" spans="2:22" ht="12.75" customHeight="1">
      <c r="B427" s="25"/>
      <c r="C427" s="34"/>
      <c r="D427" s="38"/>
      <c r="E427" s="38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16" t="str">
        <f>IF($L427&lt;&gt;"","Purpose "&amp;CHAR(10)&amp;$L427&amp;CHAR(10)&amp;CHAR(10),"")&amp;
IF($M427&lt;&gt;"","Stops (in order) "&amp;CHAR(10)&amp;$M427&amp;CHAR(10)&amp;CHAR(10),"")&amp;
IF($N427&lt;&gt;"","To-Do (hard requirements) "&amp;CHAR(10)&amp;$N427&amp;CHAR(10)&amp;CHAR(10),"")&amp;
IF($O427&lt;&gt;"","Suggested Timeline "&amp;CHAR(10)&amp;$O427&amp;CHAR(10)&amp;CHAR(10),"")&amp;
IF($P427&lt;&gt;"","Guardrails "&amp;CHAR(10)&amp;$P427&amp;CHAR(10)&amp;CHAR(10),"")&amp;
IF($Q427&lt;&gt;"","Completion signals "&amp;CHAR(10)&amp;$Q427,"")</f>
        <v/>
      </c>
      <c r="S427" s="25"/>
      <c r="T427" s="25"/>
      <c r="U427" s="8"/>
      <c r="V427" s="8" t="str">
        <f>_xlfn.SINGLE(IF($B427 = "", "", IF(_xlfn.SINGLE(_xlfn.TEXTJOIN(" | ", TRUE, IF($B427 = "", "Missing Title", ""), IF($C427 = "", "Missing Date", ""), IF($D427 = "", "Missing Start", ""), IF($E427 = "", "Missing End", ""), IF($G427 = "", "Missing Required Attendees", ""), IF($T427 = "", "Missing Status", ""), IF(AND($D427 &lt;&gt; "", $E427 &lt;&gt; "", $D427 &gt;= $E427), "Start&gt;=End", ""), IF(OR($R427 = "", LEN($R427) &lt; 60, ISNUMBER(MATCH(TRIM($R427), StatusList, 0))), "Body overwritten/short", ""))) = "", "OK", _xlfn.TEXTJOIN(" | ", TRUE, IF($B427 = "", "Missing Title", ""), IF($C427 = "", "Missing Date", ""), IF($D427 = "", "Missing Start", ""), IF($E427 = "", "Missing End", ""), IF($G427 = "", "Missing Required Attendees", ""), IF($T427 = "", "Missing Status", ""), IF(AND($D427 &lt;&gt; "", $E427 &lt;&gt; "", $D427 &gt;= $E427), "Start&gt;=End", ""), IF(OR($R427 = "", LEN($R427) &lt; 60, ISNUMBER(MATCH(TRIM($R427), StatusList, 0))), "Body overwritten/short", "")))))</f>
        <v/>
      </c>
    </row>
    <row r="428" spans="2:22" ht="12.75" customHeight="1">
      <c r="B428" s="25"/>
      <c r="C428" s="34"/>
      <c r="D428" s="38"/>
      <c r="E428" s="38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16" t="str">
        <f>IF($L428&lt;&gt;"","Purpose "&amp;CHAR(10)&amp;$L428&amp;CHAR(10)&amp;CHAR(10),"")&amp;
IF($M428&lt;&gt;"","Stops (in order) "&amp;CHAR(10)&amp;$M428&amp;CHAR(10)&amp;CHAR(10),"")&amp;
IF($N428&lt;&gt;"","To-Do (hard requirements) "&amp;CHAR(10)&amp;$N428&amp;CHAR(10)&amp;CHAR(10),"")&amp;
IF($O428&lt;&gt;"","Suggested Timeline "&amp;CHAR(10)&amp;$O428&amp;CHAR(10)&amp;CHAR(10),"")&amp;
IF($P428&lt;&gt;"","Guardrails "&amp;CHAR(10)&amp;$P428&amp;CHAR(10)&amp;CHAR(10),"")&amp;
IF($Q428&lt;&gt;"","Completion signals "&amp;CHAR(10)&amp;$Q428,"")</f>
        <v/>
      </c>
      <c r="S428" s="25"/>
      <c r="T428" s="25"/>
      <c r="U428" s="8"/>
      <c r="V428" s="8" t="str">
        <f>_xlfn.SINGLE(IF($B428 = "", "", IF(_xlfn.SINGLE(_xlfn.TEXTJOIN(" | ", TRUE, IF($B428 = "", "Missing Title", ""), IF($C428 = "", "Missing Date", ""), IF($D428 = "", "Missing Start", ""), IF($E428 = "", "Missing End", ""), IF($G428 = "", "Missing Required Attendees", ""), IF($T428 = "", "Missing Status", ""), IF(AND($D428 &lt;&gt; "", $E428 &lt;&gt; "", $D428 &gt;= $E428), "Start&gt;=End", ""), IF(OR($R428 = "", LEN($R428) &lt; 60, ISNUMBER(MATCH(TRIM($R428), StatusList, 0))), "Body overwritten/short", ""))) = "", "OK", _xlfn.TEXTJOIN(" | ", TRUE, IF($B428 = "", "Missing Title", ""), IF($C428 = "", "Missing Date", ""), IF($D428 = "", "Missing Start", ""), IF($E428 = "", "Missing End", ""), IF($G428 = "", "Missing Required Attendees", ""), IF($T428 = "", "Missing Status", ""), IF(AND($D428 &lt;&gt; "", $E428 &lt;&gt; "", $D428 &gt;= $E428), "Start&gt;=End", ""), IF(OR($R428 = "", LEN($R428) &lt; 60, ISNUMBER(MATCH(TRIM($R428), StatusList, 0))), "Body overwritten/short", "")))))</f>
        <v/>
      </c>
    </row>
    <row r="429" spans="2:22" ht="12.75" customHeight="1">
      <c r="B429" s="25"/>
      <c r="C429" s="34"/>
      <c r="D429" s="38"/>
      <c r="E429" s="38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16" t="str">
        <f>IF($L429&lt;&gt;"","Purpose "&amp;CHAR(10)&amp;$L429&amp;CHAR(10)&amp;CHAR(10),"")&amp;
IF($M429&lt;&gt;"","Stops (in order) "&amp;CHAR(10)&amp;$M429&amp;CHAR(10)&amp;CHAR(10),"")&amp;
IF($N429&lt;&gt;"","To-Do (hard requirements) "&amp;CHAR(10)&amp;$N429&amp;CHAR(10)&amp;CHAR(10),"")&amp;
IF($O429&lt;&gt;"","Suggested Timeline "&amp;CHAR(10)&amp;$O429&amp;CHAR(10)&amp;CHAR(10),"")&amp;
IF($P429&lt;&gt;"","Guardrails "&amp;CHAR(10)&amp;$P429&amp;CHAR(10)&amp;CHAR(10),"")&amp;
IF($Q429&lt;&gt;"","Completion signals "&amp;CHAR(10)&amp;$Q429,"")</f>
        <v/>
      </c>
      <c r="S429" s="25"/>
      <c r="T429" s="25"/>
      <c r="U429" s="8"/>
      <c r="V429" s="8" t="str">
        <f>_xlfn.SINGLE(IF($B429 = "", "", IF(_xlfn.SINGLE(_xlfn.TEXTJOIN(" | ", TRUE, IF($B429 = "", "Missing Title", ""), IF($C429 = "", "Missing Date", ""), IF($D429 = "", "Missing Start", ""), IF($E429 = "", "Missing End", ""), IF($G429 = "", "Missing Required Attendees", ""), IF($T429 = "", "Missing Status", ""), IF(AND($D429 &lt;&gt; "", $E429 &lt;&gt; "", $D429 &gt;= $E429), "Start&gt;=End", ""), IF(OR($R429 = "", LEN($R429) &lt; 60, ISNUMBER(MATCH(TRIM($R429), StatusList, 0))), "Body overwritten/short", ""))) = "", "OK", _xlfn.TEXTJOIN(" | ", TRUE, IF($B429 = "", "Missing Title", ""), IF($C429 = "", "Missing Date", ""), IF($D429 = "", "Missing Start", ""), IF($E429 = "", "Missing End", ""), IF($G429 = "", "Missing Required Attendees", ""), IF($T429 = "", "Missing Status", ""), IF(AND($D429 &lt;&gt; "", $E429 &lt;&gt; "", $D429 &gt;= $E429), "Start&gt;=End", ""), IF(OR($R429 = "", LEN($R429) &lt; 60, ISNUMBER(MATCH(TRIM($R429), StatusList, 0))), "Body overwritten/short", "")))))</f>
        <v/>
      </c>
    </row>
    <row r="430" spans="2:22" ht="12.75" customHeight="1">
      <c r="B430" s="25"/>
      <c r="C430" s="34"/>
      <c r="D430" s="38"/>
      <c r="E430" s="38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16" t="str">
        <f>IF($L430&lt;&gt;"","Purpose "&amp;CHAR(10)&amp;$L430&amp;CHAR(10)&amp;CHAR(10),"")&amp;
IF($M430&lt;&gt;"","Stops (in order) "&amp;CHAR(10)&amp;$M430&amp;CHAR(10)&amp;CHAR(10),"")&amp;
IF($N430&lt;&gt;"","To-Do (hard requirements) "&amp;CHAR(10)&amp;$N430&amp;CHAR(10)&amp;CHAR(10),"")&amp;
IF($O430&lt;&gt;"","Suggested Timeline "&amp;CHAR(10)&amp;$O430&amp;CHAR(10)&amp;CHAR(10),"")&amp;
IF($P430&lt;&gt;"","Guardrails "&amp;CHAR(10)&amp;$P430&amp;CHAR(10)&amp;CHAR(10),"")&amp;
IF($Q430&lt;&gt;"","Completion signals "&amp;CHAR(10)&amp;$Q430,"")</f>
        <v/>
      </c>
      <c r="S430" s="25"/>
      <c r="T430" s="25"/>
      <c r="U430" s="8"/>
      <c r="V430" s="8" t="str">
        <f>_xlfn.SINGLE(IF($B430 = "", "", IF(_xlfn.SINGLE(_xlfn.TEXTJOIN(" | ", TRUE, IF($B430 = "", "Missing Title", ""), IF($C430 = "", "Missing Date", ""), IF($D430 = "", "Missing Start", ""), IF($E430 = "", "Missing End", ""), IF($G430 = "", "Missing Required Attendees", ""), IF($T430 = "", "Missing Status", ""), IF(AND($D430 &lt;&gt; "", $E430 &lt;&gt; "", $D430 &gt;= $E430), "Start&gt;=End", ""), IF(OR($R430 = "", LEN($R430) &lt; 60, ISNUMBER(MATCH(TRIM($R430), StatusList, 0))), "Body overwritten/short", ""))) = "", "OK", _xlfn.TEXTJOIN(" | ", TRUE, IF($B430 = "", "Missing Title", ""), IF($C430 = "", "Missing Date", ""), IF($D430 = "", "Missing Start", ""), IF($E430 = "", "Missing End", ""), IF($G430 = "", "Missing Required Attendees", ""), IF($T430 = "", "Missing Status", ""), IF(AND($D430 &lt;&gt; "", $E430 &lt;&gt; "", $D430 &gt;= $E430), "Start&gt;=End", ""), IF(OR($R430 = "", LEN($R430) &lt; 60, ISNUMBER(MATCH(TRIM($R430), StatusList, 0))), "Body overwritten/short", "")))))</f>
        <v/>
      </c>
    </row>
    <row r="431" spans="2:22" ht="12.75" customHeight="1">
      <c r="B431" s="25"/>
      <c r="C431" s="34"/>
      <c r="D431" s="38"/>
      <c r="E431" s="38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16" t="str">
        <f>IF($L431&lt;&gt;"","Purpose "&amp;CHAR(10)&amp;$L431&amp;CHAR(10)&amp;CHAR(10),"")&amp;
IF($M431&lt;&gt;"","Stops (in order) "&amp;CHAR(10)&amp;$M431&amp;CHAR(10)&amp;CHAR(10),"")&amp;
IF($N431&lt;&gt;"","To-Do (hard requirements) "&amp;CHAR(10)&amp;$N431&amp;CHAR(10)&amp;CHAR(10),"")&amp;
IF($O431&lt;&gt;"","Suggested Timeline "&amp;CHAR(10)&amp;$O431&amp;CHAR(10)&amp;CHAR(10),"")&amp;
IF($P431&lt;&gt;"","Guardrails "&amp;CHAR(10)&amp;$P431&amp;CHAR(10)&amp;CHAR(10),"")&amp;
IF($Q431&lt;&gt;"","Completion signals "&amp;CHAR(10)&amp;$Q431,"")</f>
        <v/>
      </c>
      <c r="S431" s="25"/>
      <c r="T431" s="25"/>
      <c r="U431" s="8"/>
      <c r="V431" s="8" t="str">
        <f>_xlfn.SINGLE(IF($B431 = "", "", IF(_xlfn.SINGLE(_xlfn.TEXTJOIN(" | ", TRUE, IF($B431 = "", "Missing Title", ""), IF($C431 = "", "Missing Date", ""), IF($D431 = "", "Missing Start", ""), IF($E431 = "", "Missing End", ""), IF($G431 = "", "Missing Required Attendees", ""), IF($T431 = "", "Missing Status", ""), IF(AND($D431 &lt;&gt; "", $E431 &lt;&gt; "", $D431 &gt;= $E431), "Start&gt;=End", ""), IF(OR($R431 = "", LEN($R431) &lt; 60, ISNUMBER(MATCH(TRIM($R431), StatusList, 0))), "Body overwritten/short", ""))) = "", "OK", _xlfn.TEXTJOIN(" | ", TRUE, IF($B431 = "", "Missing Title", ""), IF($C431 = "", "Missing Date", ""), IF($D431 = "", "Missing Start", ""), IF($E431 = "", "Missing End", ""), IF($G431 = "", "Missing Required Attendees", ""), IF($T431 = "", "Missing Status", ""), IF(AND($D431 &lt;&gt; "", $E431 &lt;&gt; "", $D431 &gt;= $E431), "Start&gt;=End", ""), IF(OR($R431 = "", LEN($R431) &lt; 60, ISNUMBER(MATCH(TRIM($R431), StatusList, 0))), "Body overwritten/short", "")))))</f>
        <v/>
      </c>
    </row>
    <row r="432" spans="2:22" ht="12.75" customHeight="1">
      <c r="B432" s="25"/>
      <c r="C432" s="34"/>
      <c r="D432" s="38"/>
      <c r="E432" s="38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16" t="str">
        <f>IF($L432&lt;&gt;"","Purpose "&amp;CHAR(10)&amp;$L432&amp;CHAR(10)&amp;CHAR(10),"")&amp;
IF($M432&lt;&gt;"","Stops (in order) "&amp;CHAR(10)&amp;$M432&amp;CHAR(10)&amp;CHAR(10),"")&amp;
IF($N432&lt;&gt;"","To-Do (hard requirements) "&amp;CHAR(10)&amp;$N432&amp;CHAR(10)&amp;CHAR(10),"")&amp;
IF($O432&lt;&gt;"","Suggested Timeline "&amp;CHAR(10)&amp;$O432&amp;CHAR(10)&amp;CHAR(10),"")&amp;
IF($P432&lt;&gt;"","Guardrails "&amp;CHAR(10)&amp;$P432&amp;CHAR(10)&amp;CHAR(10),"")&amp;
IF($Q432&lt;&gt;"","Completion signals "&amp;CHAR(10)&amp;$Q432,"")</f>
        <v/>
      </c>
      <c r="S432" s="25"/>
      <c r="T432" s="25"/>
      <c r="U432" s="8"/>
      <c r="V432" s="8" t="str">
        <f>_xlfn.SINGLE(IF($B432 = "", "", IF(_xlfn.SINGLE(_xlfn.TEXTJOIN(" | ", TRUE, IF($B432 = "", "Missing Title", ""), IF($C432 = "", "Missing Date", ""), IF($D432 = "", "Missing Start", ""), IF($E432 = "", "Missing End", ""), IF($G432 = "", "Missing Required Attendees", ""), IF($T432 = "", "Missing Status", ""), IF(AND($D432 &lt;&gt; "", $E432 &lt;&gt; "", $D432 &gt;= $E432), "Start&gt;=End", ""), IF(OR($R432 = "", LEN($R432) &lt; 60, ISNUMBER(MATCH(TRIM($R432), StatusList, 0))), "Body overwritten/short", ""))) = "", "OK", _xlfn.TEXTJOIN(" | ", TRUE, IF($B432 = "", "Missing Title", ""), IF($C432 = "", "Missing Date", ""), IF($D432 = "", "Missing Start", ""), IF($E432 = "", "Missing End", ""), IF($G432 = "", "Missing Required Attendees", ""), IF($T432 = "", "Missing Status", ""), IF(AND($D432 &lt;&gt; "", $E432 &lt;&gt; "", $D432 &gt;= $E432), "Start&gt;=End", ""), IF(OR($R432 = "", LEN($R432) &lt; 60, ISNUMBER(MATCH(TRIM($R432), StatusList, 0))), "Body overwritten/short", "")))))</f>
        <v/>
      </c>
    </row>
    <row r="433" spans="2:22" ht="12.75" customHeight="1">
      <c r="B433" s="25"/>
      <c r="C433" s="34"/>
      <c r="D433" s="38"/>
      <c r="E433" s="38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16" t="str">
        <f>IF($L433&lt;&gt;"","Purpose "&amp;CHAR(10)&amp;$L433&amp;CHAR(10)&amp;CHAR(10),"")&amp;
IF($M433&lt;&gt;"","Stops (in order) "&amp;CHAR(10)&amp;$M433&amp;CHAR(10)&amp;CHAR(10),"")&amp;
IF($N433&lt;&gt;"","To-Do (hard requirements) "&amp;CHAR(10)&amp;$N433&amp;CHAR(10)&amp;CHAR(10),"")&amp;
IF($O433&lt;&gt;"","Suggested Timeline "&amp;CHAR(10)&amp;$O433&amp;CHAR(10)&amp;CHAR(10),"")&amp;
IF($P433&lt;&gt;"","Guardrails "&amp;CHAR(10)&amp;$P433&amp;CHAR(10)&amp;CHAR(10),"")&amp;
IF($Q433&lt;&gt;"","Completion signals "&amp;CHAR(10)&amp;$Q433,"")</f>
        <v/>
      </c>
      <c r="S433" s="25"/>
      <c r="T433" s="25"/>
      <c r="U433" s="8"/>
      <c r="V433" s="8" t="str">
        <f>_xlfn.SINGLE(IF($B433 = "", "", IF(_xlfn.SINGLE(_xlfn.TEXTJOIN(" | ", TRUE, IF($B433 = "", "Missing Title", ""), IF($C433 = "", "Missing Date", ""), IF($D433 = "", "Missing Start", ""), IF($E433 = "", "Missing End", ""), IF($G433 = "", "Missing Required Attendees", ""), IF($T433 = "", "Missing Status", ""), IF(AND($D433 &lt;&gt; "", $E433 &lt;&gt; "", $D433 &gt;= $E433), "Start&gt;=End", ""), IF(OR($R433 = "", LEN($R433) &lt; 60, ISNUMBER(MATCH(TRIM($R433), StatusList, 0))), "Body overwritten/short", ""))) = "", "OK", _xlfn.TEXTJOIN(" | ", TRUE, IF($B433 = "", "Missing Title", ""), IF($C433 = "", "Missing Date", ""), IF($D433 = "", "Missing Start", ""), IF($E433 = "", "Missing End", ""), IF($G433 = "", "Missing Required Attendees", ""), IF($T433 = "", "Missing Status", ""), IF(AND($D433 &lt;&gt; "", $E433 &lt;&gt; "", $D433 &gt;= $E433), "Start&gt;=End", ""), IF(OR($R433 = "", LEN($R433) &lt; 60, ISNUMBER(MATCH(TRIM($R433), StatusList, 0))), "Body overwritten/short", "")))))</f>
        <v/>
      </c>
    </row>
    <row r="434" spans="2:22" ht="12.75" customHeight="1">
      <c r="B434" s="25"/>
      <c r="C434" s="34"/>
      <c r="D434" s="38"/>
      <c r="E434" s="38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16" t="str">
        <f>IF($L434&lt;&gt;"","Purpose "&amp;CHAR(10)&amp;$L434&amp;CHAR(10)&amp;CHAR(10),"")&amp;
IF($M434&lt;&gt;"","Stops (in order) "&amp;CHAR(10)&amp;$M434&amp;CHAR(10)&amp;CHAR(10),"")&amp;
IF($N434&lt;&gt;"","To-Do (hard requirements) "&amp;CHAR(10)&amp;$N434&amp;CHAR(10)&amp;CHAR(10),"")&amp;
IF($O434&lt;&gt;"","Suggested Timeline "&amp;CHAR(10)&amp;$O434&amp;CHAR(10)&amp;CHAR(10),"")&amp;
IF($P434&lt;&gt;"","Guardrails "&amp;CHAR(10)&amp;$P434&amp;CHAR(10)&amp;CHAR(10),"")&amp;
IF($Q434&lt;&gt;"","Completion signals "&amp;CHAR(10)&amp;$Q434,"")</f>
        <v/>
      </c>
      <c r="S434" s="25"/>
      <c r="T434" s="25"/>
      <c r="U434" s="8"/>
      <c r="V434" s="8" t="str">
        <f>_xlfn.SINGLE(IF($B434 = "", "", IF(_xlfn.SINGLE(_xlfn.TEXTJOIN(" | ", TRUE, IF($B434 = "", "Missing Title", ""), IF($C434 = "", "Missing Date", ""), IF($D434 = "", "Missing Start", ""), IF($E434 = "", "Missing End", ""), IF($G434 = "", "Missing Required Attendees", ""), IF($T434 = "", "Missing Status", ""), IF(AND($D434 &lt;&gt; "", $E434 &lt;&gt; "", $D434 &gt;= $E434), "Start&gt;=End", ""), IF(OR($R434 = "", LEN($R434) &lt; 60, ISNUMBER(MATCH(TRIM($R434), StatusList, 0))), "Body overwritten/short", ""))) = "", "OK", _xlfn.TEXTJOIN(" | ", TRUE, IF($B434 = "", "Missing Title", ""), IF($C434 = "", "Missing Date", ""), IF($D434 = "", "Missing Start", ""), IF($E434 = "", "Missing End", ""), IF($G434 = "", "Missing Required Attendees", ""), IF($T434 = "", "Missing Status", ""), IF(AND($D434 &lt;&gt; "", $E434 &lt;&gt; "", $D434 &gt;= $E434), "Start&gt;=End", ""), IF(OR($R434 = "", LEN($R434) &lt; 60, ISNUMBER(MATCH(TRIM($R434), StatusList, 0))), "Body overwritten/short", "")))))</f>
        <v/>
      </c>
    </row>
    <row r="435" spans="2:22" ht="12.75" customHeight="1">
      <c r="B435" s="25"/>
      <c r="C435" s="34"/>
      <c r="D435" s="38"/>
      <c r="E435" s="38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16" t="str">
        <f>IF($L435&lt;&gt;"","Purpose "&amp;CHAR(10)&amp;$L435&amp;CHAR(10)&amp;CHAR(10),"")&amp;
IF($M435&lt;&gt;"","Stops (in order) "&amp;CHAR(10)&amp;$M435&amp;CHAR(10)&amp;CHAR(10),"")&amp;
IF($N435&lt;&gt;"","To-Do (hard requirements) "&amp;CHAR(10)&amp;$N435&amp;CHAR(10)&amp;CHAR(10),"")&amp;
IF($O435&lt;&gt;"","Suggested Timeline "&amp;CHAR(10)&amp;$O435&amp;CHAR(10)&amp;CHAR(10),"")&amp;
IF($P435&lt;&gt;"","Guardrails "&amp;CHAR(10)&amp;$P435&amp;CHAR(10)&amp;CHAR(10),"")&amp;
IF($Q435&lt;&gt;"","Completion signals "&amp;CHAR(10)&amp;$Q435,"")</f>
        <v/>
      </c>
      <c r="S435" s="25"/>
      <c r="T435" s="25"/>
      <c r="U435" s="8"/>
      <c r="V435" s="8" t="str">
        <f>_xlfn.SINGLE(IF($B435 = "", "", IF(_xlfn.SINGLE(_xlfn.TEXTJOIN(" | ", TRUE, IF($B435 = "", "Missing Title", ""), IF($C435 = "", "Missing Date", ""), IF($D435 = "", "Missing Start", ""), IF($E435 = "", "Missing End", ""), IF($G435 = "", "Missing Required Attendees", ""), IF($T435 = "", "Missing Status", ""), IF(AND($D435 &lt;&gt; "", $E435 &lt;&gt; "", $D435 &gt;= $E435), "Start&gt;=End", ""), IF(OR($R435 = "", LEN($R435) &lt; 60, ISNUMBER(MATCH(TRIM($R435), StatusList, 0))), "Body overwritten/short", ""))) = "", "OK", _xlfn.TEXTJOIN(" | ", TRUE, IF($B435 = "", "Missing Title", ""), IF($C435 = "", "Missing Date", ""), IF($D435 = "", "Missing Start", ""), IF($E435 = "", "Missing End", ""), IF($G435 = "", "Missing Required Attendees", ""), IF($T435 = "", "Missing Status", ""), IF(AND($D435 &lt;&gt; "", $E435 &lt;&gt; "", $D435 &gt;= $E435), "Start&gt;=End", ""), IF(OR($R435 = "", LEN($R435) &lt; 60, ISNUMBER(MATCH(TRIM($R435), StatusList, 0))), "Body overwritten/short", "")))))</f>
        <v/>
      </c>
    </row>
    <row r="436" spans="2:22" ht="12.75" customHeight="1">
      <c r="B436" s="25"/>
      <c r="C436" s="34"/>
      <c r="D436" s="38"/>
      <c r="E436" s="38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16" t="str">
        <f>IF($L436&lt;&gt;"","Purpose "&amp;CHAR(10)&amp;$L436&amp;CHAR(10)&amp;CHAR(10),"")&amp;
IF($M436&lt;&gt;"","Stops (in order) "&amp;CHAR(10)&amp;$M436&amp;CHAR(10)&amp;CHAR(10),"")&amp;
IF($N436&lt;&gt;"","To-Do (hard requirements) "&amp;CHAR(10)&amp;$N436&amp;CHAR(10)&amp;CHAR(10),"")&amp;
IF($O436&lt;&gt;"","Suggested Timeline "&amp;CHAR(10)&amp;$O436&amp;CHAR(10)&amp;CHAR(10),"")&amp;
IF($P436&lt;&gt;"","Guardrails "&amp;CHAR(10)&amp;$P436&amp;CHAR(10)&amp;CHAR(10),"")&amp;
IF($Q436&lt;&gt;"","Completion signals "&amp;CHAR(10)&amp;$Q436,"")</f>
        <v/>
      </c>
      <c r="S436" s="25"/>
      <c r="T436" s="25"/>
      <c r="U436" s="8"/>
      <c r="V436" s="8" t="str">
        <f>_xlfn.SINGLE(IF($B436 = "", "", IF(_xlfn.SINGLE(_xlfn.TEXTJOIN(" | ", TRUE, IF($B436 = "", "Missing Title", ""), IF($C436 = "", "Missing Date", ""), IF($D436 = "", "Missing Start", ""), IF($E436 = "", "Missing End", ""), IF($G436 = "", "Missing Required Attendees", ""), IF($T436 = "", "Missing Status", ""), IF(AND($D436 &lt;&gt; "", $E436 &lt;&gt; "", $D436 &gt;= $E436), "Start&gt;=End", ""), IF(OR($R436 = "", LEN($R436) &lt; 60, ISNUMBER(MATCH(TRIM($R436), StatusList, 0))), "Body overwritten/short", ""))) = "", "OK", _xlfn.TEXTJOIN(" | ", TRUE, IF($B436 = "", "Missing Title", ""), IF($C436 = "", "Missing Date", ""), IF($D436 = "", "Missing Start", ""), IF($E436 = "", "Missing End", ""), IF($G436 = "", "Missing Required Attendees", ""), IF($T436 = "", "Missing Status", ""), IF(AND($D436 &lt;&gt; "", $E436 &lt;&gt; "", $D436 &gt;= $E436), "Start&gt;=End", ""), IF(OR($R436 = "", LEN($R436) &lt; 60, ISNUMBER(MATCH(TRIM($R436), StatusList, 0))), "Body overwritten/short", "")))))</f>
        <v/>
      </c>
    </row>
    <row r="437" spans="2:22" ht="12.75" customHeight="1">
      <c r="B437" s="25"/>
      <c r="C437" s="34"/>
      <c r="D437" s="38"/>
      <c r="E437" s="38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16" t="str">
        <f>IF($L437&lt;&gt;"","Purpose "&amp;CHAR(10)&amp;$L437&amp;CHAR(10)&amp;CHAR(10),"")&amp;
IF($M437&lt;&gt;"","Stops (in order) "&amp;CHAR(10)&amp;$M437&amp;CHAR(10)&amp;CHAR(10),"")&amp;
IF($N437&lt;&gt;"","To-Do (hard requirements) "&amp;CHAR(10)&amp;$N437&amp;CHAR(10)&amp;CHAR(10),"")&amp;
IF($O437&lt;&gt;"","Suggested Timeline "&amp;CHAR(10)&amp;$O437&amp;CHAR(10)&amp;CHAR(10),"")&amp;
IF($P437&lt;&gt;"","Guardrails "&amp;CHAR(10)&amp;$P437&amp;CHAR(10)&amp;CHAR(10),"")&amp;
IF($Q437&lt;&gt;"","Completion signals "&amp;CHAR(10)&amp;$Q437,"")</f>
        <v/>
      </c>
      <c r="S437" s="25"/>
      <c r="T437" s="25"/>
      <c r="U437" s="8"/>
      <c r="V437" s="8" t="str">
        <f>_xlfn.SINGLE(IF($B437 = "", "", IF(_xlfn.SINGLE(_xlfn.TEXTJOIN(" | ", TRUE, IF($B437 = "", "Missing Title", ""), IF($C437 = "", "Missing Date", ""), IF($D437 = "", "Missing Start", ""), IF($E437 = "", "Missing End", ""), IF($G437 = "", "Missing Required Attendees", ""), IF($T437 = "", "Missing Status", ""), IF(AND($D437 &lt;&gt; "", $E437 &lt;&gt; "", $D437 &gt;= $E437), "Start&gt;=End", ""), IF(OR($R437 = "", LEN($R437) &lt; 60, ISNUMBER(MATCH(TRIM($R437), StatusList, 0))), "Body overwritten/short", ""))) = "", "OK", _xlfn.TEXTJOIN(" | ", TRUE, IF($B437 = "", "Missing Title", ""), IF($C437 = "", "Missing Date", ""), IF($D437 = "", "Missing Start", ""), IF($E437 = "", "Missing End", ""), IF($G437 = "", "Missing Required Attendees", ""), IF($T437 = "", "Missing Status", ""), IF(AND($D437 &lt;&gt; "", $E437 &lt;&gt; "", $D437 &gt;= $E437), "Start&gt;=End", ""), IF(OR($R437 = "", LEN($R437) &lt; 60, ISNUMBER(MATCH(TRIM($R437), StatusList, 0))), "Body overwritten/short", "")))))</f>
        <v/>
      </c>
    </row>
    <row r="438" spans="2:22" ht="12.75" customHeight="1">
      <c r="B438" s="25"/>
      <c r="C438" s="34"/>
      <c r="D438" s="38"/>
      <c r="E438" s="38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16" t="str">
        <f>IF($L438&lt;&gt;"","Purpose "&amp;CHAR(10)&amp;$L438&amp;CHAR(10)&amp;CHAR(10),"")&amp;
IF($M438&lt;&gt;"","Stops (in order) "&amp;CHAR(10)&amp;$M438&amp;CHAR(10)&amp;CHAR(10),"")&amp;
IF($N438&lt;&gt;"","To-Do (hard requirements) "&amp;CHAR(10)&amp;$N438&amp;CHAR(10)&amp;CHAR(10),"")&amp;
IF($O438&lt;&gt;"","Suggested Timeline "&amp;CHAR(10)&amp;$O438&amp;CHAR(10)&amp;CHAR(10),"")&amp;
IF($P438&lt;&gt;"","Guardrails "&amp;CHAR(10)&amp;$P438&amp;CHAR(10)&amp;CHAR(10),"")&amp;
IF($Q438&lt;&gt;"","Completion signals "&amp;CHAR(10)&amp;$Q438,"")</f>
        <v/>
      </c>
      <c r="S438" s="25"/>
      <c r="T438" s="25"/>
      <c r="U438" s="8"/>
      <c r="V438" s="8" t="str">
        <f>_xlfn.SINGLE(IF($B438 = "", "", IF(_xlfn.SINGLE(_xlfn.TEXTJOIN(" | ", TRUE, IF($B438 = "", "Missing Title", ""), IF($C438 = "", "Missing Date", ""), IF($D438 = "", "Missing Start", ""), IF($E438 = "", "Missing End", ""), IF($G438 = "", "Missing Required Attendees", ""), IF($T438 = "", "Missing Status", ""), IF(AND($D438 &lt;&gt; "", $E438 &lt;&gt; "", $D438 &gt;= $E438), "Start&gt;=End", ""), IF(OR($R438 = "", LEN($R438) &lt; 60, ISNUMBER(MATCH(TRIM($R438), StatusList, 0))), "Body overwritten/short", ""))) = "", "OK", _xlfn.TEXTJOIN(" | ", TRUE, IF($B438 = "", "Missing Title", ""), IF($C438 = "", "Missing Date", ""), IF($D438 = "", "Missing Start", ""), IF($E438 = "", "Missing End", ""), IF($G438 = "", "Missing Required Attendees", ""), IF($T438 = "", "Missing Status", ""), IF(AND($D438 &lt;&gt; "", $E438 &lt;&gt; "", $D438 &gt;= $E438), "Start&gt;=End", ""), IF(OR($R438 = "", LEN($R438) &lt; 60, ISNUMBER(MATCH(TRIM($R438), StatusList, 0))), "Body overwritten/short", "")))))</f>
        <v/>
      </c>
    </row>
    <row r="439" spans="2:22" ht="12.75" customHeight="1">
      <c r="B439" s="25"/>
      <c r="C439" s="34"/>
      <c r="D439" s="38"/>
      <c r="E439" s="38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16" t="str">
        <f>IF($L439&lt;&gt;"","Purpose "&amp;CHAR(10)&amp;$L439&amp;CHAR(10)&amp;CHAR(10),"")&amp;
IF($M439&lt;&gt;"","Stops (in order) "&amp;CHAR(10)&amp;$M439&amp;CHAR(10)&amp;CHAR(10),"")&amp;
IF($N439&lt;&gt;"","To-Do (hard requirements) "&amp;CHAR(10)&amp;$N439&amp;CHAR(10)&amp;CHAR(10),"")&amp;
IF($O439&lt;&gt;"","Suggested Timeline "&amp;CHAR(10)&amp;$O439&amp;CHAR(10)&amp;CHAR(10),"")&amp;
IF($P439&lt;&gt;"","Guardrails "&amp;CHAR(10)&amp;$P439&amp;CHAR(10)&amp;CHAR(10),"")&amp;
IF($Q439&lt;&gt;"","Completion signals "&amp;CHAR(10)&amp;$Q439,"")</f>
        <v/>
      </c>
      <c r="S439" s="25"/>
      <c r="T439" s="25"/>
      <c r="U439" s="8"/>
      <c r="V439" s="8" t="str">
        <f>_xlfn.SINGLE(IF($B439 = "", "", IF(_xlfn.SINGLE(_xlfn.TEXTJOIN(" | ", TRUE, IF($B439 = "", "Missing Title", ""), IF($C439 = "", "Missing Date", ""), IF($D439 = "", "Missing Start", ""), IF($E439 = "", "Missing End", ""), IF($G439 = "", "Missing Required Attendees", ""), IF($T439 = "", "Missing Status", ""), IF(AND($D439 &lt;&gt; "", $E439 &lt;&gt; "", $D439 &gt;= $E439), "Start&gt;=End", ""), IF(OR($R439 = "", LEN($R439) &lt; 60, ISNUMBER(MATCH(TRIM($R439), StatusList, 0))), "Body overwritten/short", ""))) = "", "OK", _xlfn.TEXTJOIN(" | ", TRUE, IF($B439 = "", "Missing Title", ""), IF($C439 = "", "Missing Date", ""), IF($D439 = "", "Missing Start", ""), IF($E439 = "", "Missing End", ""), IF($G439 = "", "Missing Required Attendees", ""), IF($T439 = "", "Missing Status", ""), IF(AND($D439 &lt;&gt; "", $E439 &lt;&gt; "", $D439 &gt;= $E439), "Start&gt;=End", ""), IF(OR($R439 = "", LEN($R439) &lt; 60, ISNUMBER(MATCH(TRIM($R439), StatusList, 0))), "Body overwritten/short", "")))))</f>
        <v/>
      </c>
    </row>
    <row r="440" spans="2:22" ht="12.75" customHeight="1">
      <c r="B440" s="25"/>
      <c r="C440" s="34"/>
      <c r="D440" s="38"/>
      <c r="E440" s="38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16" t="str">
        <f>IF($L440&lt;&gt;"","Purpose "&amp;CHAR(10)&amp;$L440&amp;CHAR(10)&amp;CHAR(10),"")&amp;
IF($M440&lt;&gt;"","Stops (in order) "&amp;CHAR(10)&amp;$M440&amp;CHAR(10)&amp;CHAR(10),"")&amp;
IF($N440&lt;&gt;"","To-Do (hard requirements) "&amp;CHAR(10)&amp;$N440&amp;CHAR(10)&amp;CHAR(10),"")&amp;
IF($O440&lt;&gt;"","Suggested Timeline "&amp;CHAR(10)&amp;$O440&amp;CHAR(10)&amp;CHAR(10),"")&amp;
IF($P440&lt;&gt;"","Guardrails "&amp;CHAR(10)&amp;$P440&amp;CHAR(10)&amp;CHAR(10),"")&amp;
IF($Q440&lt;&gt;"","Completion signals "&amp;CHAR(10)&amp;$Q440,"")</f>
        <v/>
      </c>
      <c r="S440" s="25"/>
      <c r="T440" s="25"/>
      <c r="U440" s="8"/>
      <c r="V440" s="8" t="str">
        <f>_xlfn.SINGLE(IF($B440 = "", "", IF(_xlfn.SINGLE(_xlfn.TEXTJOIN(" | ", TRUE, IF($B440 = "", "Missing Title", ""), IF($C440 = "", "Missing Date", ""), IF($D440 = "", "Missing Start", ""), IF($E440 = "", "Missing End", ""), IF($G440 = "", "Missing Required Attendees", ""), IF($T440 = "", "Missing Status", ""), IF(AND($D440 &lt;&gt; "", $E440 &lt;&gt; "", $D440 &gt;= $E440), "Start&gt;=End", ""), IF(OR($R440 = "", LEN($R440) &lt; 60, ISNUMBER(MATCH(TRIM($R440), StatusList, 0))), "Body overwritten/short", ""))) = "", "OK", _xlfn.TEXTJOIN(" | ", TRUE, IF($B440 = "", "Missing Title", ""), IF($C440 = "", "Missing Date", ""), IF($D440 = "", "Missing Start", ""), IF($E440 = "", "Missing End", ""), IF($G440 = "", "Missing Required Attendees", ""), IF($T440 = "", "Missing Status", ""), IF(AND($D440 &lt;&gt; "", $E440 &lt;&gt; "", $D440 &gt;= $E440), "Start&gt;=End", ""), IF(OR($R440 = "", LEN($R440) &lt; 60, ISNUMBER(MATCH(TRIM($R440), StatusList, 0))), "Body overwritten/short", "")))))</f>
        <v/>
      </c>
    </row>
    <row r="441" spans="2:22" ht="12.75" customHeight="1">
      <c r="B441" s="25"/>
      <c r="C441" s="34"/>
      <c r="D441" s="38"/>
      <c r="E441" s="38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16" t="str">
        <f>IF($L441&lt;&gt;"","Purpose "&amp;CHAR(10)&amp;$L441&amp;CHAR(10)&amp;CHAR(10),"")&amp;
IF($M441&lt;&gt;"","Stops (in order) "&amp;CHAR(10)&amp;$M441&amp;CHAR(10)&amp;CHAR(10),"")&amp;
IF($N441&lt;&gt;"","To-Do (hard requirements) "&amp;CHAR(10)&amp;$N441&amp;CHAR(10)&amp;CHAR(10),"")&amp;
IF($O441&lt;&gt;"","Suggested Timeline "&amp;CHAR(10)&amp;$O441&amp;CHAR(10)&amp;CHAR(10),"")&amp;
IF($P441&lt;&gt;"","Guardrails "&amp;CHAR(10)&amp;$P441&amp;CHAR(10)&amp;CHAR(10),"")&amp;
IF($Q441&lt;&gt;"","Completion signals "&amp;CHAR(10)&amp;$Q441,"")</f>
        <v/>
      </c>
      <c r="S441" s="25"/>
      <c r="T441" s="25"/>
      <c r="U441" s="8"/>
      <c r="V441" s="8" t="str">
        <f>_xlfn.SINGLE(IF($B441 = "", "", IF(_xlfn.SINGLE(_xlfn.TEXTJOIN(" | ", TRUE, IF($B441 = "", "Missing Title", ""), IF($C441 = "", "Missing Date", ""), IF($D441 = "", "Missing Start", ""), IF($E441 = "", "Missing End", ""), IF($G441 = "", "Missing Required Attendees", ""), IF($T441 = "", "Missing Status", ""), IF(AND($D441 &lt;&gt; "", $E441 &lt;&gt; "", $D441 &gt;= $E441), "Start&gt;=End", ""), IF(OR($R441 = "", LEN($R441) &lt; 60, ISNUMBER(MATCH(TRIM($R441), StatusList, 0))), "Body overwritten/short", ""))) = "", "OK", _xlfn.TEXTJOIN(" | ", TRUE, IF($B441 = "", "Missing Title", ""), IF($C441 = "", "Missing Date", ""), IF($D441 = "", "Missing Start", ""), IF($E441 = "", "Missing End", ""), IF($G441 = "", "Missing Required Attendees", ""), IF($T441 = "", "Missing Status", ""), IF(AND($D441 &lt;&gt; "", $E441 &lt;&gt; "", $D441 &gt;= $E441), "Start&gt;=End", ""), IF(OR($R441 = "", LEN($R441) &lt; 60, ISNUMBER(MATCH(TRIM($R441), StatusList, 0))), "Body overwritten/short", "")))))</f>
        <v/>
      </c>
    </row>
    <row r="442" spans="2:22" ht="12.75" customHeight="1">
      <c r="B442" s="25"/>
      <c r="C442" s="34"/>
      <c r="D442" s="38"/>
      <c r="E442" s="38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16" t="str">
        <f>IF($L442&lt;&gt;"","Purpose "&amp;CHAR(10)&amp;$L442&amp;CHAR(10)&amp;CHAR(10),"")&amp;
IF($M442&lt;&gt;"","Stops (in order) "&amp;CHAR(10)&amp;$M442&amp;CHAR(10)&amp;CHAR(10),"")&amp;
IF($N442&lt;&gt;"","To-Do (hard requirements) "&amp;CHAR(10)&amp;$N442&amp;CHAR(10)&amp;CHAR(10),"")&amp;
IF($O442&lt;&gt;"","Suggested Timeline "&amp;CHAR(10)&amp;$O442&amp;CHAR(10)&amp;CHAR(10),"")&amp;
IF($P442&lt;&gt;"","Guardrails "&amp;CHAR(10)&amp;$P442&amp;CHAR(10)&amp;CHAR(10),"")&amp;
IF($Q442&lt;&gt;"","Completion signals "&amp;CHAR(10)&amp;$Q442,"")</f>
        <v/>
      </c>
      <c r="S442" s="25"/>
      <c r="T442" s="25"/>
      <c r="U442" s="8"/>
      <c r="V442" s="8" t="str">
        <f>_xlfn.SINGLE(IF($B442 = "", "", IF(_xlfn.SINGLE(_xlfn.TEXTJOIN(" | ", TRUE, IF($B442 = "", "Missing Title", ""), IF($C442 = "", "Missing Date", ""), IF($D442 = "", "Missing Start", ""), IF($E442 = "", "Missing End", ""), IF($G442 = "", "Missing Required Attendees", ""), IF($T442 = "", "Missing Status", ""), IF(AND($D442 &lt;&gt; "", $E442 &lt;&gt; "", $D442 &gt;= $E442), "Start&gt;=End", ""), IF(OR($R442 = "", LEN($R442) &lt; 60, ISNUMBER(MATCH(TRIM($R442), StatusList, 0))), "Body overwritten/short", ""))) = "", "OK", _xlfn.TEXTJOIN(" | ", TRUE, IF($B442 = "", "Missing Title", ""), IF($C442 = "", "Missing Date", ""), IF($D442 = "", "Missing Start", ""), IF($E442 = "", "Missing End", ""), IF($G442 = "", "Missing Required Attendees", ""), IF($T442 = "", "Missing Status", ""), IF(AND($D442 &lt;&gt; "", $E442 &lt;&gt; "", $D442 &gt;= $E442), "Start&gt;=End", ""), IF(OR($R442 = "", LEN($R442) &lt; 60, ISNUMBER(MATCH(TRIM($R442), StatusList, 0))), "Body overwritten/short", "")))))</f>
        <v/>
      </c>
    </row>
    <row r="443" spans="2:22" ht="12.75" customHeight="1">
      <c r="B443" s="25"/>
      <c r="C443" s="34"/>
      <c r="D443" s="38"/>
      <c r="E443" s="38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16" t="str">
        <f>IF($L443&lt;&gt;"","Purpose "&amp;CHAR(10)&amp;$L443&amp;CHAR(10)&amp;CHAR(10),"")&amp;
IF($M443&lt;&gt;"","Stops (in order) "&amp;CHAR(10)&amp;$M443&amp;CHAR(10)&amp;CHAR(10),"")&amp;
IF($N443&lt;&gt;"","To-Do (hard requirements) "&amp;CHAR(10)&amp;$N443&amp;CHAR(10)&amp;CHAR(10),"")&amp;
IF($O443&lt;&gt;"","Suggested Timeline "&amp;CHAR(10)&amp;$O443&amp;CHAR(10)&amp;CHAR(10),"")&amp;
IF($P443&lt;&gt;"","Guardrails "&amp;CHAR(10)&amp;$P443&amp;CHAR(10)&amp;CHAR(10),"")&amp;
IF($Q443&lt;&gt;"","Completion signals "&amp;CHAR(10)&amp;$Q443,"")</f>
        <v/>
      </c>
      <c r="S443" s="25"/>
      <c r="T443" s="25"/>
      <c r="U443" s="8"/>
      <c r="V443" s="8" t="str">
        <f>_xlfn.SINGLE(IF($B443 = "", "", IF(_xlfn.SINGLE(_xlfn.TEXTJOIN(" | ", TRUE, IF($B443 = "", "Missing Title", ""), IF($C443 = "", "Missing Date", ""), IF($D443 = "", "Missing Start", ""), IF($E443 = "", "Missing End", ""), IF($G443 = "", "Missing Required Attendees", ""), IF($T443 = "", "Missing Status", ""), IF(AND($D443 &lt;&gt; "", $E443 &lt;&gt; "", $D443 &gt;= $E443), "Start&gt;=End", ""), IF(OR($R443 = "", LEN($R443) &lt; 60, ISNUMBER(MATCH(TRIM($R443), StatusList, 0))), "Body overwritten/short", ""))) = "", "OK", _xlfn.TEXTJOIN(" | ", TRUE, IF($B443 = "", "Missing Title", ""), IF($C443 = "", "Missing Date", ""), IF($D443 = "", "Missing Start", ""), IF($E443 = "", "Missing End", ""), IF($G443 = "", "Missing Required Attendees", ""), IF($T443 = "", "Missing Status", ""), IF(AND($D443 &lt;&gt; "", $E443 &lt;&gt; "", $D443 &gt;= $E443), "Start&gt;=End", ""), IF(OR($R443 = "", LEN($R443) &lt; 60, ISNUMBER(MATCH(TRIM($R443), StatusList, 0))), "Body overwritten/short", "")))))</f>
        <v/>
      </c>
    </row>
    <row r="444" spans="2:22" ht="12.75" customHeight="1">
      <c r="B444" s="25"/>
      <c r="C444" s="34"/>
      <c r="D444" s="38"/>
      <c r="E444" s="38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16" t="str">
        <f>IF($L444&lt;&gt;"","Purpose "&amp;CHAR(10)&amp;$L444&amp;CHAR(10)&amp;CHAR(10),"")&amp;
IF($M444&lt;&gt;"","Stops (in order) "&amp;CHAR(10)&amp;$M444&amp;CHAR(10)&amp;CHAR(10),"")&amp;
IF($N444&lt;&gt;"","To-Do (hard requirements) "&amp;CHAR(10)&amp;$N444&amp;CHAR(10)&amp;CHAR(10),"")&amp;
IF($O444&lt;&gt;"","Suggested Timeline "&amp;CHAR(10)&amp;$O444&amp;CHAR(10)&amp;CHAR(10),"")&amp;
IF($P444&lt;&gt;"","Guardrails "&amp;CHAR(10)&amp;$P444&amp;CHAR(10)&amp;CHAR(10),"")&amp;
IF($Q444&lt;&gt;"","Completion signals "&amp;CHAR(10)&amp;$Q444,"")</f>
        <v/>
      </c>
      <c r="S444" s="25"/>
      <c r="T444" s="25"/>
      <c r="U444" s="8"/>
      <c r="V444" s="8" t="str">
        <f>_xlfn.SINGLE(IF($B444 = "", "", IF(_xlfn.SINGLE(_xlfn.TEXTJOIN(" | ", TRUE, IF($B444 = "", "Missing Title", ""), IF($C444 = "", "Missing Date", ""), IF($D444 = "", "Missing Start", ""), IF($E444 = "", "Missing End", ""), IF($G444 = "", "Missing Required Attendees", ""), IF($T444 = "", "Missing Status", ""), IF(AND($D444 &lt;&gt; "", $E444 &lt;&gt; "", $D444 &gt;= $E444), "Start&gt;=End", ""), IF(OR($R444 = "", LEN($R444) &lt; 60, ISNUMBER(MATCH(TRIM($R444), StatusList, 0))), "Body overwritten/short", ""))) = "", "OK", _xlfn.TEXTJOIN(" | ", TRUE, IF($B444 = "", "Missing Title", ""), IF($C444 = "", "Missing Date", ""), IF($D444 = "", "Missing Start", ""), IF($E444 = "", "Missing End", ""), IF($G444 = "", "Missing Required Attendees", ""), IF($T444 = "", "Missing Status", ""), IF(AND($D444 &lt;&gt; "", $E444 &lt;&gt; "", $D444 &gt;= $E444), "Start&gt;=End", ""), IF(OR($R444 = "", LEN($R444) &lt; 60, ISNUMBER(MATCH(TRIM($R444), StatusList, 0))), "Body overwritten/short", "")))))</f>
        <v/>
      </c>
    </row>
    <row r="445" spans="2:22" ht="12.75" customHeight="1">
      <c r="B445" s="25"/>
      <c r="C445" s="34"/>
      <c r="D445" s="38"/>
      <c r="E445" s="38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16" t="str">
        <f>IF($L445&lt;&gt;"","Purpose "&amp;CHAR(10)&amp;$L445&amp;CHAR(10)&amp;CHAR(10),"")&amp;
IF($M445&lt;&gt;"","Stops (in order) "&amp;CHAR(10)&amp;$M445&amp;CHAR(10)&amp;CHAR(10),"")&amp;
IF($N445&lt;&gt;"","To-Do (hard requirements) "&amp;CHAR(10)&amp;$N445&amp;CHAR(10)&amp;CHAR(10),"")&amp;
IF($O445&lt;&gt;"","Suggested Timeline "&amp;CHAR(10)&amp;$O445&amp;CHAR(10)&amp;CHAR(10),"")&amp;
IF($P445&lt;&gt;"","Guardrails "&amp;CHAR(10)&amp;$P445&amp;CHAR(10)&amp;CHAR(10),"")&amp;
IF($Q445&lt;&gt;"","Completion signals "&amp;CHAR(10)&amp;$Q445,"")</f>
        <v/>
      </c>
      <c r="S445" s="25"/>
      <c r="T445" s="25"/>
      <c r="U445" s="8"/>
      <c r="V445" s="8" t="str">
        <f>_xlfn.SINGLE(IF($B445 = "", "", IF(_xlfn.SINGLE(_xlfn.TEXTJOIN(" | ", TRUE, IF($B445 = "", "Missing Title", ""), IF($C445 = "", "Missing Date", ""), IF($D445 = "", "Missing Start", ""), IF($E445 = "", "Missing End", ""), IF($G445 = "", "Missing Required Attendees", ""), IF($T445 = "", "Missing Status", ""), IF(AND($D445 &lt;&gt; "", $E445 &lt;&gt; "", $D445 &gt;= $E445), "Start&gt;=End", ""), IF(OR($R445 = "", LEN($R445) &lt; 60, ISNUMBER(MATCH(TRIM($R445), StatusList, 0))), "Body overwritten/short", ""))) = "", "OK", _xlfn.TEXTJOIN(" | ", TRUE, IF($B445 = "", "Missing Title", ""), IF($C445 = "", "Missing Date", ""), IF($D445 = "", "Missing Start", ""), IF($E445 = "", "Missing End", ""), IF($G445 = "", "Missing Required Attendees", ""), IF($T445 = "", "Missing Status", ""), IF(AND($D445 &lt;&gt; "", $E445 &lt;&gt; "", $D445 &gt;= $E445), "Start&gt;=End", ""), IF(OR($R445 = "", LEN($R445) &lt; 60, ISNUMBER(MATCH(TRIM($R445), StatusList, 0))), "Body overwritten/short", "")))))</f>
        <v/>
      </c>
    </row>
    <row r="446" spans="2:22" ht="12.75" customHeight="1">
      <c r="B446" s="25"/>
      <c r="C446" s="34"/>
      <c r="D446" s="38"/>
      <c r="E446" s="38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16" t="str">
        <f>IF($L446&lt;&gt;"","Purpose "&amp;CHAR(10)&amp;$L446&amp;CHAR(10)&amp;CHAR(10),"")&amp;
IF($M446&lt;&gt;"","Stops (in order) "&amp;CHAR(10)&amp;$M446&amp;CHAR(10)&amp;CHAR(10),"")&amp;
IF($N446&lt;&gt;"","To-Do (hard requirements) "&amp;CHAR(10)&amp;$N446&amp;CHAR(10)&amp;CHAR(10),"")&amp;
IF($O446&lt;&gt;"","Suggested Timeline "&amp;CHAR(10)&amp;$O446&amp;CHAR(10)&amp;CHAR(10),"")&amp;
IF($P446&lt;&gt;"","Guardrails "&amp;CHAR(10)&amp;$P446&amp;CHAR(10)&amp;CHAR(10),"")&amp;
IF($Q446&lt;&gt;"","Completion signals "&amp;CHAR(10)&amp;$Q446,"")</f>
        <v/>
      </c>
      <c r="S446" s="25"/>
      <c r="T446" s="25"/>
      <c r="U446" s="8"/>
      <c r="V446" s="8" t="str">
        <f>_xlfn.SINGLE(IF($B446 = "", "", IF(_xlfn.SINGLE(_xlfn.TEXTJOIN(" | ", TRUE, IF($B446 = "", "Missing Title", ""), IF($C446 = "", "Missing Date", ""), IF($D446 = "", "Missing Start", ""), IF($E446 = "", "Missing End", ""), IF($G446 = "", "Missing Required Attendees", ""), IF($T446 = "", "Missing Status", ""), IF(AND($D446 &lt;&gt; "", $E446 &lt;&gt; "", $D446 &gt;= $E446), "Start&gt;=End", ""), IF(OR($R446 = "", LEN($R446) &lt; 60, ISNUMBER(MATCH(TRIM($R446), StatusList, 0))), "Body overwritten/short", ""))) = "", "OK", _xlfn.TEXTJOIN(" | ", TRUE, IF($B446 = "", "Missing Title", ""), IF($C446 = "", "Missing Date", ""), IF($D446 = "", "Missing Start", ""), IF($E446 = "", "Missing End", ""), IF($G446 = "", "Missing Required Attendees", ""), IF($T446 = "", "Missing Status", ""), IF(AND($D446 &lt;&gt; "", $E446 &lt;&gt; "", $D446 &gt;= $E446), "Start&gt;=End", ""), IF(OR($R446 = "", LEN($R446) &lt; 60, ISNUMBER(MATCH(TRIM($R446), StatusList, 0))), "Body overwritten/short", "")))))</f>
        <v/>
      </c>
    </row>
    <row r="447" spans="2:22" ht="12.75" customHeight="1">
      <c r="B447" s="25"/>
      <c r="C447" s="34"/>
      <c r="D447" s="38"/>
      <c r="E447" s="38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16" t="str">
        <f>IF($L447&lt;&gt;"","Purpose "&amp;CHAR(10)&amp;$L447&amp;CHAR(10)&amp;CHAR(10),"")&amp;
IF($M447&lt;&gt;"","Stops (in order) "&amp;CHAR(10)&amp;$M447&amp;CHAR(10)&amp;CHAR(10),"")&amp;
IF($N447&lt;&gt;"","To-Do (hard requirements) "&amp;CHAR(10)&amp;$N447&amp;CHAR(10)&amp;CHAR(10),"")&amp;
IF($O447&lt;&gt;"","Suggested Timeline "&amp;CHAR(10)&amp;$O447&amp;CHAR(10)&amp;CHAR(10),"")&amp;
IF($P447&lt;&gt;"","Guardrails "&amp;CHAR(10)&amp;$P447&amp;CHAR(10)&amp;CHAR(10),"")&amp;
IF($Q447&lt;&gt;"","Completion signals "&amp;CHAR(10)&amp;$Q447,"")</f>
        <v/>
      </c>
      <c r="S447" s="25"/>
      <c r="T447" s="25"/>
      <c r="U447" s="8"/>
      <c r="V447" s="8" t="str">
        <f>_xlfn.SINGLE(IF($B447 = "", "", IF(_xlfn.SINGLE(_xlfn.TEXTJOIN(" | ", TRUE, IF($B447 = "", "Missing Title", ""), IF($C447 = "", "Missing Date", ""), IF($D447 = "", "Missing Start", ""), IF($E447 = "", "Missing End", ""), IF($G447 = "", "Missing Required Attendees", ""), IF($T447 = "", "Missing Status", ""), IF(AND($D447 &lt;&gt; "", $E447 &lt;&gt; "", $D447 &gt;= $E447), "Start&gt;=End", ""), IF(OR($R447 = "", LEN($R447) &lt; 60, ISNUMBER(MATCH(TRIM($R447), StatusList, 0))), "Body overwritten/short", ""))) = "", "OK", _xlfn.TEXTJOIN(" | ", TRUE, IF($B447 = "", "Missing Title", ""), IF($C447 = "", "Missing Date", ""), IF($D447 = "", "Missing Start", ""), IF($E447 = "", "Missing End", ""), IF($G447 = "", "Missing Required Attendees", ""), IF($T447 = "", "Missing Status", ""), IF(AND($D447 &lt;&gt; "", $E447 &lt;&gt; "", $D447 &gt;= $E447), "Start&gt;=End", ""), IF(OR($R447 = "", LEN($R447) &lt; 60, ISNUMBER(MATCH(TRIM($R447), StatusList, 0))), "Body overwritten/short", "")))))</f>
        <v/>
      </c>
    </row>
    <row r="448" spans="2:22" ht="12.75" customHeight="1">
      <c r="B448" s="25"/>
      <c r="C448" s="34"/>
      <c r="D448" s="38"/>
      <c r="E448" s="38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16" t="str">
        <f>IF($L448&lt;&gt;"","Purpose "&amp;CHAR(10)&amp;$L448&amp;CHAR(10)&amp;CHAR(10),"")&amp;
IF($M448&lt;&gt;"","Stops (in order) "&amp;CHAR(10)&amp;$M448&amp;CHAR(10)&amp;CHAR(10),"")&amp;
IF($N448&lt;&gt;"","To-Do (hard requirements) "&amp;CHAR(10)&amp;$N448&amp;CHAR(10)&amp;CHAR(10),"")&amp;
IF($O448&lt;&gt;"","Suggested Timeline "&amp;CHAR(10)&amp;$O448&amp;CHAR(10)&amp;CHAR(10),"")&amp;
IF($P448&lt;&gt;"","Guardrails "&amp;CHAR(10)&amp;$P448&amp;CHAR(10)&amp;CHAR(10),"")&amp;
IF($Q448&lt;&gt;"","Completion signals "&amp;CHAR(10)&amp;$Q448,"")</f>
        <v/>
      </c>
      <c r="S448" s="25"/>
      <c r="T448" s="25"/>
      <c r="U448" s="8"/>
      <c r="V448" s="8" t="str">
        <f>_xlfn.SINGLE(IF($B448 = "", "", IF(_xlfn.SINGLE(_xlfn.TEXTJOIN(" | ", TRUE, IF($B448 = "", "Missing Title", ""), IF($C448 = "", "Missing Date", ""), IF($D448 = "", "Missing Start", ""), IF($E448 = "", "Missing End", ""), IF($G448 = "", "Missing Required Attendees", ""), IF($T448 = "", "Missing Status", ""), IF(AND($D448 &lt;&gt; "", $E448 &lt;&gt; "", $D448 &gt;= $E448), "Start&gt;=End", ""), IF(OR($R448 = "", LEN($R448) &lt; 60, ISNUMBER(MATCH(TRIM($R448), StatusList, 0))), "Body overwritten/short", ""))) = "", "OK", _xlfn.TEXTJOIN(" | ", TRUE, IF($B448 = "", "Missing Title", ""), IF($C448 = "", "Missing Date", ""), IF($D448 = "", "Missing Start", ""), IF($E448 = "", "Missing End", ""), IF($G448 = "", "Missing Required Attendees", ""), IF($T448 = "", "Missing Status", ""), IF(AND($D448 &lt;&gt; "", $E448 &lt;&gt; "", $D448 &gt;= $E448), "Start&gt;=End", ""), IF(OR($R448 = "", LEN($R448) &lt; 60, ISNUMBER(MATCH(TRIM($R448), StatusList, 0))), "Body overwritten/short", "")))))</f>
        <v/>
      </c>
    </row>
    <row r="449" spans="2:22" ht="12.75" customHeight="1">
      <c r="B449" s="25"/>
      <c r="C449" s="34"/>
      <c r="D449" s="38"/>
      <c r="E449" s="38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16" t="str">
        <f>IF($L449&lt;&gt;"","Purpose "&amp;CHAR(10)&amp;$L449&amp;CHAR(10)&amp;CHAR(10),"")&amp;
IF($M449&lt;&gt;"","Stops (in order) "&amp;CHAR(10)&amp;$M449&amp;CHAR(10)&amp;CHAR(10),"")&amp;
IF($N449&lt;&gt;"","To-Do (hard requirements) "&amp;CHAR(10)&amp;$N449&amp;CHAR(10)&amp;CHAR(10),"")&amp;
IF($O449&lt;&gt;"","Suggested Timeline "&amp;CHAR(10)&amp;$O449&amp;CHAR(10)&amp;CHAR(10),"")&amp;
IF($P449&lt;&gt;"","Guardrails "&amp;CHAR(10)&amp;$P449&amp;CHAR(10)&amp;CHAR(10),"")&amp;
IF($Q449&lt;&gt;"","Completion signals "&amp;CHAR(10)&amp;$Q449,"")</f>
        <v/>
      </c>
      <c r="S449" s="25"/>
      <c r="T449" s="25"/>
      <c r="U449" s="8"/>
      <c r="V449" s="8" t="str">
        <f>_xlfn.SINGLE(IF($B449 = "", "", IF(_xlfn.SINGLE(_xlfn.TEXTJOIN(" | ", TRUE, IF($B449 = "", "Missing Title", ""), IF($C449 = "", "Missing Date", ""), IF($D449 = "", "Missing Start", ""), IF($E449 = "", "Missing End", ""), IF($G449 = "", "Missing Required Attendees", ""), IF($T449 = "", "Missing Status", ""), IF(AND($D449 &lt;&gt; "", $E449 &lt;&gt; "", $D449 &gt;= $E449), "Start&gt;=End", ""), IF(OR($R449 = "", LEN($R449) &lt; 60, ISNUMBER(MATCH(TRIM($R449), StatusList, 0))), "Body overwritten/short", ""))) = "", "OK", _xlfn.TEXTJOIN(" | ", TRUE, IF($B449 = "", "Missing Title", ""), IF($C449 = "", "Missing Date", ""), IF($D449 = "", "Missing Start", ""), IF($E449 = "", "Missing End", ""), IF($G449 = "", "Missing Required Attendees", ""), IF($T449 = "", "Missing Status", ""), IF(AND($D449 &lt;&gt; "", $E449 &lt;&gt; "", $D449 &gt;= $E449), "Start&gt;=End", ""), IF(OR($R449 = "", LEN($R449) &lt; 60, ISNUMBER(MATCH(TRIM($R449), StatusList, 0))), "Body overwritten/short", "")))))</f>
        <v/>
      </c>
    </row>
    <row r="450" spans="2:22" ht="12.75" customHeight="1">
      <c r="B450" s="25"/>
      <c r="C450" s="34"/>
      <c r="D450" s="38"/>
      <c r="E450" s="38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16" t="str">
        <f>IF($L450&lt;&gt;"","Purpose "&amp;CHAR(10)&amp;$L450&amp;CHAR(10)&amp;CHAR(10),"")&amp;
IF($M450&lt;&gt;"","Stops (in order) "&amp;CHAR(10)&amp;$M450&amp;CHAR(10)&amp;CHAR(10),"")&amp;
IF($N450&lt;&gt;"","To-Do (hard requirements) "&amp;CHAR(10)&amp;$N450&amp;CHAR(10)&amp;CHAR(10),"")&amp;
IF($O450&lt;&gt;"","Suggested Timeline "&amp;CHAR(10)&amp;$O450&amp;CHAR(10)&amp;CHAR(10),"")&amp;
IF($P450&lt;&gt;"","Guardrails "&amp;CHAR(10)&amp;$P450&amp;CHAR(10)&amp;CHAR(10),"")&amp;
IF($Q450&lt;&gt;"","Completion signals "&amp;CHAR(10)&amp;$Q450,"")</f>
        <v/>
      </c>
      <c r="S450" s="25"/>
      <c r="T450" s="25"/>
      <c r="U450" s="8"/>
      <c r="V450" s="8" t="str">
        <f>_xlfn.SINGLE(IF($B450 = "", "", IF(_xlfn.SINGLE(_xlfn.TEXTJOIN(" | ", TRUE, IF($B450 = "", "Missing Title", ""), IF($C450 = "", "Missing Date", ""), IF($D450 = "", "Missing Start", ""), IF($E450 = "", "Missing End", ""), IF($G450 = "", "Missing Required Attendees", ""), IF($T450 = "", "Missing Status", ""), IF(AND($D450 &lt;&gt; "", $E450 &lt;&gt; "", $D450 &gt;= $E450), "Start&gt;=End", ""), IF(OR($R450 = "", LEN($R450) &lt; 60, ISNUMBER(MATCH(TRIM($R450), StatusList, 0))), "Body overwritten/short", ""))) = "", "OK", _xlfn.TEXTJOIN(" | ", TRUE, IF($B450 = "", "Missing Title", ""), IF($C450 = "", "Missing Date", ""), IF($D450 = "", "Missing Start", ""), IF($E450 = "", "Missing End", ""), IF($G450 = "", "Missing Required Attendees", ""), IF($T450 = "", "Missing Status", ""), IF(AND($D450 &lt;&gt; "", $E450 &lt;&gt; "", $D450 &gt;= $E450), "Start&gt;=End", ""), IF(OR($R450 = "", LEN($R450) &lt; 60, ISNUMBER(MATCH(TRIM($R450), StatusList, 0))), "Body overwritten/short", "")))))</f>
        <v/>
      </c>
    </row>
    <row r="451" spans="2:22" ht="12.75" customHeight="1">
      <c r="B451" s="25"/>
      <c r="C451" s="34"/>
      <c r="D451" s="38"/>
      <c r="E451" s="38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16" t="str">
        <f>IF($L451&lt;&gt;"","Purpose "&amp;CHAR(10)&amp;$L451&amp;CHAR(10)&amp;CHAR(10),"")&amp;
IF($M451&lt;&gt;"","Stops (in order) "&amp;CHAR(10)&amp;$M451&amp;CHAR(10)&amp;CHAR(10),"")&amp;
IF($N451&lt;&gt;"","To-Do (hard requirements) "&amp;CHAR(10)&amp;$N451&amp;CHAR(10)&amp;CHAR(10),"")&amp;
IF($O451&lt;&gt;"","Suggested Timeline "&amp;CHAR(10)&amp;$O451&amp;CHAR(10)&amp;CHAR(10),"")&amp;
IF($P451&lt;&gt;"","Guardrails "&amp;CHAR(10)&amp;$P451&amp;CHAR(10)&amp;CHAR(10),"")&amp;
IF($Q451&lt;&gt;"","Completion signals "&amp;CHAR(10)&amp;$Q451,"")</f>
        <v/>
      </c>
      <c r="S451" s="25"/>
      <c r="T451" s="25"/>
      <c r="U451" s="8"/>
      <c r="V451" s="8" t="str">
        <f>_xlfn.SINGLE(IF($B451 = "", "", IF(_xlfn.SINGLE(_xlfn.TEXTJOIN(" | ", TRUE, IF($B451 = "", "Missing Title", ""), IF($C451 = "", "Missing Date", ""), IF($D451 = "", "Missing Start", ""), IF($E451 = "", "Missing End", ""), IF($G451 = "", "Missing Required Attendees", ""), IF($T451 = "", "Missing Status", ""), IF(AND($D451 &lt;&gt; "", $E451 &lt;&gt; "", $D451 &gt;= $E451), "Start&gt;=End", ""), IF(OR($R451 = "", LEN($R451) &lt; 60, ISNUMBER(MATCH(TRIM($R451), StatusList, 0))), "Body overwritten/short", ""))) = "", "OK", _xlfn.TEXTJOIN(" | ", TRUE, IF($B451 = "", "Missing Title", ""), IF($C451 = "", "Missing Date", ""), IF($D451 = "", "Missing Start", ""), IF($E451 = "", "Missing End", ""), IF($G451 = "", "Missing Required Attendees", ""), IF($T451 = "", "Missing Status", ""), IF(AND($D451 &lt;&gt; "", $E451 &lt;&gt; "", $D451 &gt;= $E451), "Start&gt;=End", ""), IF(OR($R451 = "", LEN($R451) &lt; 60, ISNUMBER(MATCH(TRIM($R451), StatusList, 0))), "Body overwritten/short", "")))))</f>
        <v/>
      </c>
    </row>
    <row r="452" spans="2:22" ht="12.75" customHeight="1">
      <c r="B452" s="25"/>
      <c r="C452" s="34"/>
      <c r="D452" s="38"/>
      <c r="E452" s="38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16" t="str">
        <f>IF($L452&lt;&gt;"","Purpose "&amp;CHAR(10)&amp;$L452&amp;CHAR(10)&amp;CHAR(10),"")&amp;
IF($M452&lt;&gt;"","Stops (in order) "&amp;CHAR(10)&amp;$M452&amp;CHAR(10)&amp;CHAR(10),"")&amp;
IF($N452&lt;&gt;"","To-Do (hard requirements) "&amp;CHAR(10)&amp;$N452&amp;CHAR(10)&amp;CHAR(10),"")&amp;
IF($O452&lt;&gt;"","Suggested Timeline "&amp;CHAR(10)&amp;$O452&amp;CHAR(10)&amp;CHAR(10),"")&amp;
IF($P452&lt;&gt;"","Guardrails "&amp;CHAR(10)&amp;$P452&amp;CHAR(10)&amp;CHAR(10),"")&amp;
IF($Q452&lt;&gt;"","Completion signals "&amp;CHAR(10)&amp;$Q452,"")</f>
        <v/>
      </c>
      <c r="S452" s="25"/>
      <c r="T452" s="25"/>
      <c r="U452" s="8"/>
      <c r="V452" s="8" t="str">
        <f>_xlfn.SINGLE(IF($B452 = "", "", IF(_xlfn.SINGLE(_xlfn.TEXTJOIN(" | ", TRUE, IF($B452 = "", "Missing Title", ""), IF($C452 = "", "Missing Date", ""), IF($D452 = "", "Missing Start", ""), IF($E452 = "", "Missing End", ""), IF($G452 = "", "Missing Required Attendees", ""), IF($T452 = "", "Missing Status", ""), IF(AND($D452 &lt;&gt; "", $E452 &lt;&gt; "", $D452 &gt;= $E452), "Start&gt;=End", ""), IF(OR($R452 = "", LEN($R452) &lt; 60, ISNUMBER(MATCH(TRIM($R452), StatusList, 0))), "Body overwritten/short", ""))) = "", "OK", _xlfn.TEXTJOIN(" | ", TRUE, IF($B452 = "", "Missing Title", ""), IF($C452 = "", "Missing Date", ""), IF($D452 = "", "Missing Start", ""), IF($E452 = "", "Missing End", ""), IF($G452 = "", "Missing Required Attendees", ""), IF($T452 = "", "Missing Status", ""), IF(AND($D452 &lt;&gt; "", $E452 &lt;&gt; "", $D452 &gt;= $E452), "Start&gt;=End", ""), IF(OR($R452 = "", LEN($R452) &lt; 60, ISNUMBER(MATCH(TRIM($R452), StatusList, 0))), "Body overwritten/short", "")))))</f>
        <v/>
      </c>
    </row>
    <row r="453" spans="2:22" ht="12.75" customHeight="1">
      <c r="B453" s="25"/>
      <c r="C453" s="34"/>
      <c r="D453" s="38"/>
      <c r="E453" s="38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16" t="str">
        <f>IF($L453&lt;&gt;"","Purpose "&amp;CHAR(10)&amp;$L453&amp;CHAR(10)&amp;CHAR(10),"")&amp;
IF($M453&lt;&gt;"","Stops (in order) "&amp;CHAR(10)&amp;$M453&amp;CHAR(10)&amp;CHAR(10),"")&amp;
IF($N453&lt;&gt;"","To-Do (hard requirements) "&amp;CHAR(10)&amp;$N453&amp;CHAR(10)&amp;CHAR(10),"")&amp;
IF($O453&lt;&gt;"","Suggested Timeline "&amp;CHAR(10)&amp;$O453&amp;CHAR(10)&amp;CHAR(10),"")&amp;
IF($P453&lt;&gt;"","Guardrails "&amp;CHAR(10)&amp;$P453&amp;CHAR(10)&amp;CHAR(10),"")&amp;
IF($Q453&lt;&gt;"","Completion signals "&amp;CHAR(10)&amp;$Q453,"")</f>
        <v/>
      </c>
      <c r="S453" s="25"/>
      <c r="T453" s="25"/>
      <c r="U453" s="8"/>
      <c r="V453" s="8" t="str">
        <f>_xlfn.SINGLE(IF($B453 = "", "", IF(_xlfn.SINGLE(_xlfn.TEXTJOIN(" | ", TRUE, IF($B453 = "", "Missing Title", ""), IF($C453 = "", "Missing Date", ""), IF($D453 = "", "Missing Start", ""), IF($E453 = "", "Missing End", ""), IF($G453 = "", "Missing Required Attendees", ""), IF($T453 = "", "Missing Status", ""), IF(AND($D453 &lt;&gt; "", $E453 &lt;&gt; "", $D453 &gt;= $E453), "Start&gt;=End", ""), IF(OR($R453 = "", LEN($R453) &lt; 60, ISNUMBER(MATCH(TRIM($R453), StatusList, 0))), "Body overwritten/short", ""))) = "", "OK", _xlfn.TEXTJOIN(" | ", TRUE, IF($B453 = "", "Missing Title", ""), IF($C453 = "", "Missing Date", ""), IF($D453 = "", "Missing Start", ""), IF($E453 = "", "Missing End", ""), IF($G453 = "", "Missing Required Attendees", ""), IF($T453 = "", "Missing Status", ""), IF(AND($D453 &lt;&gt; "", $E453 &lt;&gt; "", $D453 &gt;= $E453), "Start&gt;=End", ""), IF(OR($R453 = "", LEN($R453) &lt; 60, ISNUMBER(MATCH(TRIM($R453), StatusList, 0))), "Body overwritten/short", "")))))</f>
        <v/>
      </c>
    </row>
    <row r="454" spans="2:22" ht="12.75" customHeight="1">
      <c r="B454" s="25"/>
      <c r="C454" s="34"/>
      <c r="D454" s="38"/>
      <c r="E454" s="38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16" t="str">
        <f>IF($L454&lt;&gt;"","Purpose "&amp;CHAR(10)&amp;$L454&amp;CHAR(10)&amp;CHAR(10),"")&amp;
IF($M454&lt;&gt;"","Stops (in order) "&amp;CHAR(10)&amp;$M454&amp;CHAR(10)&amp;CHAR(10),"")&amp;
IF($N454&lt;&gt;"","To-Do (hard requirements) "&amp;CHAR(10)&amp;$N454&amp;CHAR(10)&amp;CHAR(10),"")&amp;
IF($O454&lt;&gt;"","Suggested Timeline "&amp;CHAR(10)&amp;$O454&amp;CHAR(10)&amp;CHAR(10),"")&amp;
IF($P454&lt;&gt;"","Guardrails "&amp;CHAR(10)&amp;$P454&amp;CHAR(10)&amp;CHAR(10),"")&amp;
IF($Q454&lt;&gt;"","Completion signals "&amp;CHAR(10)&amp;$Q454,"")</f>
        <v/>
      </c>
      <c r="S454" s="25"/>
      <c r="T454" s="25"/>
      <c r="U454" s="8"/>
      <c r="V454" s="8" t="str">
        <f>_xlfn.SINGLE(IF($B454 = "", "", IF(_xlfn.SINGLE(_xlfn.TEXTJOIN(" | ", TRUE, IF($B454 = "", "Missing Title", ""), IF($C454 = "", "Missing Date", ""), IF($D454 = "", "Missing Start", ""), IF($E454 = "", "Missing End", ""), IF($G454 = "", "Missing Required Attendees", ""), IF($T454 = "", "Missing Status", ""), IF(AND($D454 &lt;&gt; "", $E454 &lt;&gt; "", $D454 &gt;= $E454), "Start&gt;=End", ""), IF(OR($R454 = "", LEN($R454) &lt; 60, ISNUMBER(MATCH(TRIM($R454), StatusList, 0))), "Body overwritten/short", ""))) = "", "OK", _xlfn.TEXTJOIN(" | ", TRUE, IF($B454 = "", "Missing Title", ""), IF($C454 = "", "Missing Date", ""), IF($D454 = "", "Missing Start", ""), IF($E454 = "", "Missing End", ""), IF($G454 = "", "Missing Required Attendees", ""), IF($T454 = "", "Missing Status", ""), IF(AND($D454 &lt;&gt; "", $E454 &lt;&gt; "", $D454 &gt;= $E454), "Start&gt;=End", ""), IF(OR($R454 = "", LEN($R454) &lt; 60, ISNUMBER(MATCH(TRIM($R454), StatusList, 0))), "Body overwritten/short", "")))))</f>
        <v/>
      </c>
    </row>
    <row r="455" spans="2:22" ht="12.75" customHeight="1">
      <c r="B455" s="25"/>
      <c r="C455" s="34"/>
      <c r="D455" s="38"/>
      <c r="E455" s="38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16" t="str">
        <f>IF($L455&lt;&gt;"","Purpose "&amp;CHAR(10)&amp;$L455&amp;CHAR(10)&amp;CHAR(10),"")&amp;
IF($M455&lt;&gt;"","Stops (in order) "&amp;CHAR(10)&amp;$M455&amp;CHAR(10)&amp;CHAR(10),"")&amp;
IF($N455&lt;&gt;"","To-Do (hard requirements) "&amp;CHAR(10)&amp;$N455&amp;CHAR(10)&amp;CHAR(10),"")&amp;
IF($O455&lt;&gt;"","Suggested Timeline "&amp;CHAR(10)&amp;$O455&amp;CHAR(10)&amp;CHAR(10),"")&amp;
IF($P455&lt;&gt;"","Guardrails "&amp;CHAR(10)&amp;$P455&amp;CHAR(10)&amp;CHAR(10),"")&amp;
IF($Q455&lt;&gt;"","Completion signals "&amp;CHAR(10)&amp;$Q455,"")</f>
        <v/>
      </c>
      <c r="S455" s="25"/>
      <c r="T455" s="25"/>
      <c r="U455" s="8"/>
      <c r="V455" s="8" t="str">
        <f>_xlfn.SINGLE(IF($B455 = "", "", IF(_xlfn.SINGLE(_xlfn.TEXTJOIN(" | ", TRUE, IF($B455 = "", "Missing Title", ""), IF($C455 = "", "Missing Date", ""), IF($D455 = "", "Missing Start", ""), IF($E455 = "", "Missing End", ""), IF($G455 = "", "Missing Required Attendees", ""), IF($T455 = "", "Missing Status", ""), IF(AND($D455 &lt;&gt; "", $E455 &lt;&gt; "", $D455 &gt;= $E455), "Start&gt;=End", ""), IF(OR($R455 = "", LEN($R455) &lt; 60, ISNUMBER(MATCH(TRIM($R455), StatusList, 0))), "Body overwritten/short", ""))) = "", "OK", _xlfn.TEXTJOIN(" | ", TRUE, IF($B455 = "", "Missing Title", ""), IF($C455 = "", "Missing Date", ""), IF($D455 = "", "Missing Start", ""), IF($E455 = "", "Missing End", ""), IF($G455 = "", "Missing Required Attendees", ""), IF($T455 = "", "Missing Status", ""), IF(AND($D455 &lt;&gt; "", $E455 &lt;&gt; "", $D455 &gt;= $E455), "Start&gt;=End", ""), IF(OR($R455 = "", LEN($R455) &lt; 60, ISNUMBER(MATCH(TRIM($R455), StatusList, 0))), "Body overwritten/short", "")))))</f>
        <v/>
      </c>
    </row>
    <row r="456" spans="2:22" ht="12.75" customHeight="1">
      <c r="B456" s="25"/>
      <c r="C456" s="34"/>
      <c r="D456" s="38"/>
      <c r="E456" s="38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16" t="str">
        <f>IF($L456&lt;&gt;"","Purpose "&amp;CHAR(10)&amp;$L456&amp;CHAR(10)&amp;CHAR(10),"")&amp;
IF($M456&lt;&gt;"","Stops (in order) "&amp;CHAR(10)&amp;$M456&amp;CHAR(10)&amp;CHAR(10),"")&amp;
IF($N456&lt;&gt;"","To-Do (hard requirements) "&amp;CHAR(10)&amp;$N456&amp;CHAR(10)&amp;CHAR(10),"")&amp;
IF($O456&lt;&gt;"","Suggested Timeline "&amp;CHAR(10)&amp;$O456&amp;CHAR(10)&amp;CHAR(10),"")&amp;
IF($P456&lt;&gt;"","Guardrails "&amp;CHAR(10)&amp;$P456&amp;CHAR(10)&amp;CHAR(10),"")&amp;
IF($Q456&lt;&gt;"","Completion signals "&amp;CHAR(10)&amp;$Q456,"")</f>
        <v/>
      </c>
      <c r="S456" s="25"/>
      <c r="T456" s="25"/>
      <c r="U456" s="8"/>
      <c r="V456" s="8" t="str">
        <f>_xlfn.SINGLE(IF($B456 = "", "", IF(_xlfn.SINGLE(_xlfn.TEXTJOIN(" | ", TRUE, IF($B456 = "", "Missing Title", ""), IF($C456 = "", "Missing Date", ""), IF($D456 = "", "Missing Start", ""), IF($E456 = "", "Missing End", ""), IF($G456 = "", "Missing Required Attendees", ""), IF($T456 = "", "Missing Status", ""), IF(AND($D456 &lt;&gt; "", $E456 &lt;&gt; "", $D456 &gt;= $E456), "Start&gt;=End", ""), IF(OR($R456 = "", LEN($R456) &lt; 60, ISNUMBER(MATCH(TRIM($R456), StatusList, 0))), "Body overwritten/short", ""))) = "", "OK", _xlfn.TEXTJOIN(" | ", TRUE, IF($B456 = "", "Missing Title", ""), IF($C456 = "", "Missing Date", ""), IF($D456 = "", "Missing Start", ""), IF($E456 = "", "Missing End", ""), IF($G456 = "", "Missing Required Attendees", ""), IF($T456 = "", "Missing Status", ""), IF(AND($D456 &lt;&gt; "", $E456 &lt;&gt; "", $D456 &gt;= $E456), "Start&gt;=End", ""), IF(OR($R456 = "", LEN($R456) &lt; 60, ISNUMBER(MATCH(TRIM($R456), StatusList, 0))), "Body overwritten/short", "")))))</f>
        <v/>
      </c>
    </row>
    <row r="457" spans="2:22" ht="12.75" customHeight="1">
      <c r="B457" s="25"/>
      <c r="C457" s="34"/>
      <c r="D457" s="38"/>
      <c r="E457" s="38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16" t="str">
        <f>IF($L457&lt;&gt;"","Purpose "&amp;CHAR(10)&amp;$L457&amp;CHAR(10)&amp;CHAR(10),"")&amp;
IF($M457&lt;&gt;"","Stops (in order) "&amp;CHAR(10)&amp;$M457&amp;CHAR(10)&amp;CHAR(10),"")&amp;
IF($N457&lt;&gt;"","To-Do (hard requirements) "&amp;CHAR(10)&amp;$N457&amp;CHAR(10)&amp;CHAR(10),"")&amp;
IF($O457&lt;&gt;"","Suggested Timeline "&amp;CHAR(10)&amp;$O457&amp;CHAR(10)&amp;CHAR(10),"")&amp;
IF($P457&lt;&gt;"","Guardrails "&amp;CHAR(10)&amp;$P457&amp;CHAR(10)&amp;CHAR(10),"")&amp;
IF($Q457&lt;&gt;"","Completion signals "&amp;CHAR(10)&amp;$Q457,"")</f>
        <v/>
      </c>
      <c r="S457" s="25"/>
      <c r="T457" s="25"/>
      <c r="U457" s="8"/>
      <c r="V457" s="8" t="str">
        <f>_xlfn.SINGLE(IF($B457 = "", "", IF(_xlfn.SINGLE(_xlfn.TEXTJOIN(" | ", TRUE, IF($B457 = "", "Missing Title", ""), IF($C457 = "", "Missing Date", ""), IF($D457 = "", "Missing Start", ""), IF($E457 = "", "Missing End", ""), IF($G457 = "", "Missing Required Attendees", ""), IF($T457 = "", "Missing Status", ""), IF(AND($D457 &lt;&gt; "", $E457 &lt;&gt; "", $D457 &gt;= $E457), "Start&gt;=End", ""), IF(OR($R457 = "", LEN($R457) &lt; 60, ISNUMBER(MATCH(TRIM($R457), StatusList, 0))), "Body overwritten/short", ""))) = "", "OK", _xlfn.TEXTJOIN(" | ", TRUE, IF($B457 = "", "Missing Title", ""), IF($C457 = "", "Missing Date", ""), IF($D457 = "", "Missing Start", ""), IF($E457 = "", "Missing End", ""), IF($G457 = "", "Missing Required Attendees", ""), IF($T457 = "", "Missing Status", ""), IF(AND($D457 &lt;&gt; "", $E457 &lt;&gt; "", $D457 &gt;= $E457), "Start&gt;=End", ""), IF(OR($R457 = "", LEN($R457) &lt; 60, ISNUMBER(MATCH(TRIM($R457), StatusList, 0))), "Body overwritten/short", "")))))</f>
        <v/>
      </c>
    </row>
    <row r="458" spans="2:22" ht="12.75" customHeight="1">
      <c r="B458" s="25"/>
      <c r="C458" s="34"/>
      <c r="D458" s="38"/>
      <c r="E458" s="38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16" t="str">
        <f>IF($L458&lt;&gt;"","Purpose "&amp;CHAR(10)&amp;$L458&amp;CHAR(10)&amp;CHAR(10),"")&amp;
IF($M458&lt;&gt;"","Stops (in order) "&amp;CHAR(10)&amp;$M458&amp;CHAR(10)&amp;CHAR(10),"")&amp;
IF($N458&lt;&gt;"","To-Do (hard requirements) "&amp;CHAR(10)&amp;$N458&amp;CHAR(10)&amp;CHAR(10),"")&amp;
IF($O458&lt;&gt;"","Suggested Timeline "&amp;CHAR(10)&amp;$O458&amp;CHAR(10)&amp;CHAR(10),"")&amp;
IF($P458&lt;&gt;"","Guardrails "&amp;CHAR(10)&amp;$P458&amp;CHAR(10)&amp;CHAR(10),"")&amp;
IF($Q458&lt;&gt;"","Completion signals "&amp;CHAR(10)&amp;$Q458,"")</f>
        <v/>
      </c>
      <c r="S458" s="25"/>
      <c r="T458" s="25"/>
      <c r="U458" s="8"/>
      <c r="V458" s="8" t="str">
        <f>_xlfn.SINGLE(IF($B458 = "", "", IF(_xlfn.SINGLE(_xlfn.TEXTJOIN(" | ", TRUE, IF($B458 = "", "Missing Title", ""), IF($C458 = "", "Missing Date", ""), IF($D458 = "", "Missing Start", ""), IF($E458 = "", "Missing End", ""), IF($G458 = "", "Missing Required Attendees", ""), IF($T458 = "", "Missing Status", ""), IF(AND($D458 &lt;&gt; "", $E458 &lt;&gt; "", $D458 &gt;= $E458), "Start&gt;=End", ""), IF(OR($R458 = "", LEN($R458) &lt; 60, ISNUMBER(MATCH(TRIM($R458), StatusList, 0))), "Body overwritten/short", ""))) = "", "OK", _xlfn.TEXTJOIN(" | ", TRUE, IF($B458 = "", "Missing Title", ""), IF($C458 = "", "Missing Date", ""), IF($D458 = "", "Missing Start", ""), IF($E458 = "", "Missing End", ""), IF($G458 = "", "Missing Required Attendees", ""), IF($T458 = "", "Missing Status", ""), IF(AND($D458 &lt;&gt; "", $E458 &lt;&gt; "", $D458 &gt;= $E458), "Start&gt;=End", ""), IF(OR($R458 = "", LEN($R458) &lt; 60, ISNUMBER(MATCH(TRIM($R458), StatusList, 0))), "Body overwritten/short", "")))))</f>
        <v/>
      </c>
    </row>
    <row r="459" spans="2:22" ht="12.75" customHeight="1">
      <c r="B459" s="25"/>
      <c r="C459" s="34"/>
      <c r="D459" s="38"/>
      <c r="E459" s="38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16" t="str">
        <f>IF($L459&lt;&gt;"","Purpose "&amp;CHAR(10)&amp;$L459&amp;CHAR(10)&amp;CHAR(10),"")&amp;
IF($M459&lt;&gt;"","Stops (in order) "&amp;CHAR(10)&amp;$M459&amp;CHAR(10)&amp;CHAR(10),"")&amp;
IF($N459&lt;&gt;"","To-Do (hard requirements) "&amp;CHAR(10)&amp;$N459&amp;CHAR(10)&amp;CHAR(10),"")&amp;
IF($O459&lt;&gt;"","Suggested Timeline "&amp;CHAR(10)&amp;$O459&amp;CHAR(10)&amp;CHAR(10),"")&amp;
IF($P459&lt;&gt;"","Guardrails "&amp;CHAR(10)&amp;$P459&amp;CHAR(10)&amp;CHAR(10),"")&amp;
IF($Q459&lt;&gt;"","Completion signals "&amp;CHAR(10)&amp;$Q459,"")</f>
        <v/>
      </c>
      <c r="S459" s="25"/>
      <c r="T459" s="25"/>
      <c r="U459" s="8"/>
      <c r="V459" s="8" t="str">
        <f>_xlfn.SINGLE(IF($B459 = "", "", IF(_xlfn.SINGLE(_xlfn.TEXTJOIN(" | ", TRUE, IF($B459 = "", "Missing Title", ""), IF($C459 = "", "Missing Date", ""), IF($D459 = "", "Missing Start", ""), IF($E459 = "", "Missing End", ""), IF($G459 = "", "Missing Required Attendees", ""), IF($T459 = "", "Missing Status", ""), IF(AND($D459 &lt;&gt; "", $E459 &lt;&gt; "", $D459 &gt;= $E459), "Start&gt;=End", ""), IF(OR($R459 = "", LEN($R459) &lt; 60, ISNUMBER(MATCH(TRIM($R459), StatusList, 0))), "Body overwritten/short", ""))) = "", "OK", _xlfn.TEXTJOIN(" | ", TRUE, IF($B459 = "", "Missing Title", ""), IF($C459 = "", "Missing Date", ""), IF($D459 = "", "Missing Start", ""), IF($E459 = "", "Missing End", ""), IF($G459 = "", "Missing Required Attendees", ""), IF($T459 = "", "Missing Status", ""), IF(AND($D459 &lt;&gt; "", $E459 &lt;&gt; "", $D459 &gt;= $E459), "Start&gt;=End", ""), IF(OR($R459 = "", LEN($R459) &lt; 60, ISNUMBER(MATCH(TRIM($R459), StatusList, 0))), "Body overwritten/short", "")))))</f>
        <v/>
      </c>
    </row>
    <row r="460" spans="2:22" ht="12.75" customHeight="1">
      <c r="B460" s="25"/>
      <c r="C460" s="34"/>
      <c r="D460" s="38"/>
      <c r="E460" s="38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16" t="str">
        <f>IF($L460&lt;&gt;"","Purpose "&amp;CHAR(10)&amp;$L460&amp;CHAR(10)&amp;CHAR(10),"")&amp;
IF($M460&lt;&gt;"","Stops (in order) "&amp;CHAR(10)&amp;$M460&amp;CHAR(10)&amp;CHAR(10),"")&amp;
IF($N460&lt;&gt;"","To-Do (hard requirements) "&amp;CHAR(10)&amp;$N460&amp;CHAR(10)&amp;CHAR(10),"")&amp;
IF($O460&lt;&gt;"","Suggested Timeline "&amp;CHAR(10)&amp;$O460&amp;CHAR(10)&amp;CHAR(10),"")&amp;
IF($P460&lt;&gt;"","Guardrails "&amp;CHAR(10)&amp;$P460&amp;CHAR(10)&amp;CHAR(10),"")&amp;
IF($Q460&lt;&gt;"","Completion signals "&amp;CHAR(10)&amp;$Q460,"")</f>
        <v/>
      </c>
      <c r="S460" s="25"/>
      <c r="T460" s="25"/>
      <c r="U460" s="8"/>
      <c r="V460" s="8" t="str">
        <f>_xlfn.SINGLE(IF($B460 = "", "", IF(_xlfn.SINGLE(_xlfn.TEXTJOIN(" | ", TRUE, IF($B460 = "", "Missing Title", ""), IF($C460 = "", "Missing Date", ""), IF($D460 = "", "Missing Start", ""), IF($E460 = "", "Missing End", ""), IF($G460 = "", "Missing Required Attendees", ""), IF($T460 = "", "Missing Status", ""), IF(AND($D460 &lt;&gt; "", $E460 &lt;&gt; "", $D460 &gt;= $E460), "Start&gt;=End", ""), IF(OR($R460 = "", LEN($R460) &lt; 60, ISNUMBER(MATCH(TRIM($R460), StatusList, 0))), "Body overwritten/short", ""))) = "", "OK", _xlfn.TEXTJOIN(" | ", TRUE, IF($B460 = "", "Missing Title", ""), IF($C460 = "", "Missing Date", ""), IF($D460 = "", "Missing Start", ""), IF($E460 = "", "Missing End", ""), IF($G460 = "", "Missing Required Attendees", ""), IF($T460 = "", "Missing Status", ""), IF(AND($D460 &lt;&gt; "", $E460 &lt;&gt; "", $D460 &gt;= $E460), "Start&gt;=End", ""), IF(OR($R460 = "", LEN($R460) &lt; 60, ISNUMBER(MATCH(TRIM($R460), StatusList, 0))), "Body overwritten/short", "")))))</f>
        <v/>
      </c>
    </row>
    <row r="461" spans="2:22" ht="12.75" customHeight="1">
      <c r="B461" s="25"/>
      <c r="C461" s="34"/>
      <c r="D461" s="38"/>
      <c r="E461" s="38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16" t="str">
        <f>IF($L461&lt;&gt;"","Purpose "&amp;CHAR(10)&amp;$L461&amp;CHAR(10)&amp;CHAR(10),"")&amp;
IF($M461&lt;&gt;"","Stops (in order) "&amp;CHAR(10)&amp;$M461&amp;CHAR(10)&amp;CHAR(10),"")&amp;
IF($N461&lt;&gt;"","To-Do (hard requirements) "&amp;CHAR(10)&amp;$N461&amp;CHAR(10)&amp;CHAR(10),"")&amp;
IF($O461&lt;&gt;"","Suggested Timeline "&amp;CHAR(10)&amp;$O461&amp;CHAR(10)&amp;CHAR(10),"")&amp;
IF($P461&lt;&gt;"","Guardrails "&amp;CHAR(10)&amp;$P461&amp;CHAR(10)&amp;CHAR(10),"")&amp;
IF($Q461&lt;&gt;"","Completion signals "&amp;CHAR(10)&amp;$Q461,"")</f>
        <v/>
      </c>
      <c r="S461" s="25"/>
      <c r="T461" s="25"/>
      <c r="U461" s="8"/>
      <c r="V461" s="8" t="str">
        <f>_xlfn.SINGLE(IF($B461 = "", "", IF(_xlfn.SINGLE(_xlfn.TEXTJOIN(" | ", TRUE, IF($B461 = "", "Missing Title", ""), IF($C461 = "", "Missing Date", ""), IF($D461 = "", "Missing Start", ""), IF($E461 = "", "Missing End", ""), IF($G461 = "", "Missing Required Attendees", ""), IF($T461 = "", "Missing Status", ""), IF(AND($D461 &lt;&gt; "", $E461 &lt;&gt; "", $D461 &gt;= $E461), "Start&gt;=End", ""), IF(OR($R461 = "", LEN($R461) &lt; 60, ISNUMBER(MATCH(TRIM($R461), StatusList, 0))), "Body overwritten/short", ""))) = "", "OK", _xlfn.TEXTJOIN(" | ", TRUE, IF($B461 = "", "Missing Title", ""), IF($C461 = "", "Missing Date", ""), IF($D461 = "", "Missing Start", ""), IF($E461 = "", "Missing End", ""), IF($G461 = "", "Missing Required Attendees", ""), IF($T461 = "", "Missing Status", ""), IF(AND($D461 &lt;&gt; "", $E461 &lt;&gt; "", $D461 &gt;= $E461), "Start&gt;=End", ""), IF(OR($R461 = "", LEN($R461) &lt; 60, ISNUMBER(MATCH(TRIM($R461), StatusList, 0))), "Body overwritten/short", "")))))</f>
        <v/>
      </c>
    </row>
    <row r="462" spans="2:22" ht="12.75" customHeight="1">
      <c r="B462" s="25"/>
      <c r="C462" s="34"/>
      <c r="D462" s="38"/>
      <c r="E462" s="38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16" t="str">
        <f>IF($L462&lt;&gt;"","Purpose "&amp;CHAR(10)&amp;$L462&amp;CHAR(10)&amp;CHAR(10),"")&amp;
IF($M462&lt;&gt;"","Stops (in order) "&amp;CHAR(10)&amp;$M462&amp;CHAR(10)&amp;CHAR(10),"")&amp;
IF($N462&lt;&gt;"","To-Do (hard requirements) "&amp;CHAR(10)&amp;$N462&amp;CHAR(10)&amp;CHAR(10),"")&amp;
IF($O462&lt;&gt;"","Suggested Timeline "&amp;CHAR(10)&amp;$O462&amp;CHAR(10)&amp;CHAR(10),"")&amp;
IF($P462&lt;&gt;"","Guardrails "&amp;CHAR(10)&amp;$P462&amp;CHAR(10)&amp;CHAR(10),"")&amp;
IF($Q462&lt;&gt;"","Completion signals "&amp;CHAR(10)&amp;$Q462,"")</f>
        <v/>
      </c>
      <c r="S462" s="25"/>
      <c r="T462" s="25"/>
      <c r="U462" s="8"/>
      <c r="V462" s="8" t="str">
        <f>_xlfn.SINGLE(IF($B462 = "", "", IF(_xlfn.SINGLE(_xlfn.TEXTJOIN(" | ", TRUE, IF($B462 = "", "Missing Title", ""), IF($C462 = "", "Missing Date", ""), IF($D462 = "", "Missing Start", ""), IF($E462 = "", "Missing End", ""), IF($G462 = "", "Missing Required Attendees", ""), IF($T462 = "", "Missing Status", ""), IF(AND($D462 &lt;&gt; "", $E462 &lt;&gt; "", $D462 &gt;= $E462), "Start&gt;=End", ""), IF(OR($R462 = "", LEN($R462) &lt; 60, ISNUMBER(MATCH(TRIM($R462), StatusList, 0))), "Body overwritten/short", ""))) = "", "OK", _xlfn.TEXTJOIN(" | ", TRUE, IF($B462 = "", "Missing Title", ""), IF($C462 = "", "Missing Date", ""), IF($D462 = "", "Missing Start", ""), IF($E462 = "", "Missing End", ""), IF($G462 = "", "Missing Required Attendees", ""), IF($T462 = "", "Missing Status", ""), IF(AND($D462 &lt;&gt; "", $E462 &lt;&gt; "", $D462 &gt;= $E462), "Start&gt;=End", ""), IF(OR($R462 = "", LEN($R462) &lt; 60, ISNUMBER(MATCH(TRIM($R462), StatusList, 0))), "Body overwritten/short", "")))))</f>
        <v/>
      </c>
    </row>
    <row r="463" spans="2:22" ht="12.75" customHeight="1">
      <c r="B463" s="25"/>
      <c r="C463" s="34"/>
      <c r="D463" s="38"/>
      <c r="E463" s="38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16" t="str">
        <f>IF($L463&lt;&gt;"","Purpose "&amp;CHAR(10)&amp;$L463&amp;CHAR(10)&amp;CHAR(10),"")&amp;
IF($M463&lt;&gt;"","Stops (in order) "&amp;CHAR(10)&amp;$M463&amp;CHAR(10)&amp;CHAR(10),"")&amp;
IF($N463&lt;&gt;"","To-Do (hard requirements) "&amp;CHAR(10)&amp;$N463&amp;CHAR(10)&amp;CHAR(10),"")&amp;
IF($O463&lt;&gt;"","Suggested Timeline "&amp;CHAR(10)&amp;$O463&amp;CHAR(10)&amp;CHAR(10),"")&amp;
IF($P463&lt;&gt;"","Guardrails "&amp;CHAR(10)&amp;$P463&amp;CHAR(10)&amp;CHAR(10),"")&amp;
IF($Q463&lt;&gt;"","Completion signals "&amp;CHAR(10)&amp;$Q463,"")</f>
        <v/>
      </c>
      <c r="S463" s="25"/>
      <c r="T463" s="25"/>
      <c r="U463" s="8"/>
      <c r="V463" s="8" t="str">
        <f>_xlfn.SINGLE(IF($B463 = "", "", IF(_xlfn.SINGLE(_xlfn.TEXTJOIN(" | ", TRUE, IF($B463 = "", "Missing Title", ""), IF($C463 = "", "Missing Date", ""), IF($D463 = "", "Missing Start", ""), IF($E463 = "", "Missing End", ""), IF($G463 = "", "Missing Required Attendees", ""), IF($T463 = "", "Missing Status", ""), IF(AND($D463 &lt;&gt; "", $E463 &lt;&gt; "", $D463 &gt;= $E463), "Start&gt;=End", ""), IF(OR($R463 = "", LEN($R463) &lt; 60, ISNUMBER(MATCH(TRIM($R463), StatusList, 0))), "Body overwritten/short", ""))) = "", "OK", _xlfn.TEXTJOIN(" | ", TRUE, IF($B463 = "", "Missing Title", ""), IF($C463 = "", "Missing Date", ""), IF($D463 = "", "Missing Start", ""), IF($E463 = "", "Missing End", ""), IF($G463 = "", "Missing Required Attendees", ""), IF($T463 = "", "Missing Status", ""), IF(AND($D463 &lt;&gt; "", $E463 &lt;&gt; "", $D463 &gt;= $E463), "Start&gt;=End", ""), IF(OR($R463 = "", LEN($R463) &lt; 60, ISNUMBER(MATCH(TRIM($R463), StatusList, 0))), "Body overwritten/short", "")))))</f>
        <v/>
      </c>
    </row>
    <row r="464" spans="2:22" ht="12.75" customHeight="1">
      <c r="B464" s="25"/>
      <c r="C464" s="34"/>
      <c r="D464" s="38"/>
      <c r="E464" s="38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16" t="str">
        <f>IF($L464&lt;&gt;"","Purpose "&amp;CHAR(10)&amp;$L464&amp;CHAR(10)&amp;CHAR(10),"")&amp;
IF($M464&lt;&gt;"","Stops (in order) "&amp;CHAR(10)&amp;$M464&amp;CHAR(10)&amp;CHAR(10),"")&amp;
IF($N464&lt;&gt;"","To-Do (hard requirements) "&amp;CHAR(10)&amp;$N464&amp;CHAR(10)&amp;CHAR(10),"")&amp;
IF($O464&lt;&gt;"","Suggested Timeline "&amp;CHAR(10)&amp;$O464&amp;CHAR(10)&amp;CHAR(10),"")&amp;
IF($P464&lt;&gt;"","Guardrails "&amp;CHAR(10)&amp;$P464&amp;CHAR(10)&amp;CHAR(10),"")&amp;
IF($Q464&lt;&gt;"","Completion signals "&amp;CHAR(10)&amp;$Q464,"")</f>
        <v/>
      </c>
      <c r="S464" s="25"/>
      <c r="T464" s="25"/>
      <c r="U464" s="8"/>
      <c r="V464" s="8" t="str">
        <f>_xlfn.SINGLE(IF($B464 = "", "", IF(_xlfn.SINGLE(_xlfn.TEXTJOIN(" | ", TRUE, IF($B464 = "", "Missing Title", ""), IF($C464 = "", "Missing Date", ""), IF($D464 = "", "Missing Start", ""), IF($E464 = "", "Missing End", ""), IF($G464 = "", "Missing Required Attendees", ""), IF($T464 = "", "Missing Status", ""), IF(AND($D464 &lt;&gt; "", $E464 &lt;&gt; "", $D464 &gt;= $E464), "Start&gt;=End", ""), IF(OR($R464 = "", LEN($R464) &lt; 60, ISNUMBER(MATCH(TRIM($R464), StatusList, 0))), "Body overwritten/short", ""))) = "", "OK", _xlfn.TEXTJOIN(" | ", TRUE, IF($B464 = "", "Missing Title", ""), IF($C464 = "", "Missing Date", ""), IF($D464 = "", "Missing Start", ""), IF($E464 = "", "Missing End", ""), IF($G464 = "", "Missing Required Attendees", ""), IF($T464 = "", "Missing Status", ""), IF(AND($D464 &lt;&gt; "", $E464 &lt;&gt; "", $D464 &gt;= $E464), "Start&gt;=End", ""), IF(OR($R464 = "", LEN($R464) &lt; 60, ISNUMBER(MATCH(TRIM($R464), StatusList, 0))), "Body overwritten/short", "")))))</f>
        <v/>
      </c>
    </row>
    <row r="465" spans="2:22" ht="12.75" customHeight="1">
      <c r="B465" s="25"/>
      <c r="C465" s="34"/>
      <c r="D465" s="38"/>
      <c r="E465" s="38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16" t="str">
        <f>IF($L465&lt;&gt;"","Purpose "&amp;CHAR(10)&amp;$L465&amp;CHAR(10)&amp;CHAR(10),"")&amp;
IF($M465&lt;&gt;"","Stops (in order) "&amp;CHAR(10)&amp;$M465&amp;CHAR(10)&amp;CHAR(10),"")&amp;
IF($N465&lt;&gt;"","To-Do (hard requirements) "&amp;CHAR(10)&amp;$N465&amp;CHAR(10)&amp;CHAR(10),"")&amp;
IF($O465&lt;&gt;"","Suggested Timeline "&amp;CHAR(10)&amp;$O465&amp;CHAR(10)&amp;CHAR(10),"")&amp;
IF($P465&lt;&gt;"","Guardrails "&amp;CHAR(10)&amp;$P465&amp;CHAR(10)&amp;CHAR(10),"")&amp;
IF($Q465&lt;&gt;"","Completion signals "&amp;CHAR(10)&amp;$Q465,"")</f>
        <v/>
      </c>
      <c r="S465" s="25"/>
      <c r="T465" s="25"/>
      <c r="U465" s="8"/>
      <c r="V465" s="8" t="str">
        <f>_xlfn.SINGLE(IF($B465 = "", "", IF(_xlfn.SINGLE(_xlfn.TEXTJOIN(" | ", TRUE, IF($B465 = "", "Missing Title", ""), IF($C465 = "", "Missing Date", ""), IF($D465 = "", "Missing Start", ""), IF($E465 = "", "Missing End", ""), IF($G465 = "", "Missing Required Attendees", ""), IF($T465 = "", "Missing Status", ""), IF(AND($D465 &lt;&gt; "", $E465 &lt;&gt; "", $D465 &gt;= $E465), "Start&gt;=End", ""), IF(OR($R465 = "", LEN($R465) &lt; 60, ISNUMBER(MATCH(TRIM($R465), StatusList, 0))), "Body overwritten/short", ""))) = "", "OK", _xlfn.TEXTJOIN(" | ", TRUE, IF($B465 = "", "Missing Title", ""), IF($C465 = "", "Missing Date", ""), IF($D465 = "", "Missing Start", ""), IF($E465 = "", "Missing End", ""), IF($G465 = "", "Missing Required Attendees", ""), IF($T465 = "", "Missing Status", ""), IF(AND($D465 &lt;&gt; "", $E465 &lt;&gt; "", $D465 &gt;= $E465), "Start&gt;=End", ""), IF(OR($R465 = "", LEN($R465) &lt; 60, ISNUMBER(MATCH(TRIM($R465), StatusList, 0))), "Body overwritten/short", "")))))</f>
        <v/>
      </c>
    </row>
    <row r="466" spans="2:22" ht="12.75" customHeight="1">
      <c r="B466" s="25"/>
      <c r="C466" s="34"/>
      <c r="D466" s="38"/>
      <c r="E466" s="38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16" t="str">
        <f>IF($L466&lt;&gt;"","Purpose "&amp;CHAR(10)&amp;$L466&amp;CHAR(10)&amp;CHAR(10),"")&amp;
IF($M466&lt;&gt;"","Stops (in order) "&amp;CHAR(10)&amp;$M466&amp;CHAR(10)&amp;CHAR(10),"")&amp;
IF($N466&lt;&gt;"","To-Do (hard requirements) "&amp;CHAR(10)&amp;$N466&amp;CHAR(10)&amp;CHAR(10),"")&amp;
IF($O466&lt;&gt;"","Suggested Timeline "&amp;CHAR(10)&amp;$O466&amp;CHAR(10)&amp;CHAR(10),"")&amp;
IF($P466&lt;&gt;"","Guardrails "&amp;CHAR(10)&amp;$P466&amp;CHAR(10)&amp;CHAR(10),"")&amp;
IF($Q466&lt;&gt;"","Completion signals "&amp;CHAR(10)&amp;$Q466,"")</f>
        <v/>
      </c>
      <c r="S466" s="25"/>
      <c r="T466" s="25"/>
      <c r="U466" s="8"/>
      <c r="V466" s="8" t="str">
        <f>_xlfn.SINGLE(IF($B466 = "", "", IF(_xlfn.SINGLE(_xlfn.TEXTJOIN(" | ", TRUE, IF($B466 = "", "Missing Title", ""), IF($C466 = "", "Missing Date", ""), IF($D466 = "", "Missing Start", ""), IF($E466 = "", "Missing End", ""), IF($G466 = "", "Missing Required Attendees", ""), IF($T466 = "", "Missing Status", ""), IF(AND($D466 &lt;&gt; "", $E466 &lt;&gt; "", $D466 &gt;= $E466), "Start&gt;=End", ""), IF(OR($R466 = "", LEN($R466) &lt; 60, ISNUMBER(MATCH(TRIM($R466), StatusList, 0))), "Body overwritten/short", ""))) = "", "OK", _xlfn.TEXTJOIN(" | ", TRUE, IF($B466 = "", "Missing Title", ""), IF($C466 = "", "Missing Date", ""), IF($D466 = "", "Missing Start", ""), IF($E466 = "", "Missing End", ""), IF($G466 = "", "Missing Required Attendees", ""), IF($T466 = "", "Missing Status", ""), IF(AND($D466 &lt;&gt; "", $E466 &lt;&gt; "", $D466 &gt;= $E466), "Start&gt;=End", ""), IF(OR($R466 = "", LEN($R466) &lt; 60, ISNUMBER(MATCH(TRIM($R466), StatusList, 0))), "Body overwritten/short", "")))))</f>
        <v/>
      </c>
    </row>
    <row r="467" spans="2:22" ht="12.75" customHeight="1">
      <c r="B467" s="25"/>
      <c r="C467" s="34"/>
      <c r="D467" s="38"/>
      <c r="E467" s="38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16" t="str">
        <f>IF($L467&lt;&gt;"","Purpose "&amp;CHAR(10)&amp;$L467&amp;CHAR(10)&amp;CHAR(10),"")&amp;
IF($M467&lt;&gt;"","Stops (in order) "&amp;CHAR(10)&amp;$M467&amp;CHAR(10)&amp;CHAR(10),"")&amp;
IF($N467&lt;&gt;"","To-Do (hard requirements) "&amp;CHAR(10)&amp;$N467&amp;CHAR(10)&amp;CHAR(10),"")&amp;
IF($O467&lt;&gt;"","Suggested Timeline "&amp;CHAR(10)&amp;$O467&amp;CHAR(10)&amp;CHAR(10),"")&amp;
IF($P467&lt;&gt;"","Guardrails "&amp;CHAR(10)&amp;$P467&amp;CHAR(10)&amp;CHAR(10),"")&amp;
IF($Q467&lt;&gt;"","Completion signals "&amp;CHAR(10)&amp;$Q467,"")</f>
        <v/>
      </c>
      <c r="S467" s="25"/>
      <c r="T467" s="25"/>
      <c r="U467" s="8"/>
      <c r="V467" s="8" t="str">
        <f>_xlfn.SINGLE(IF($B467 = "", "", IF(_xlfn.SINGLE(_xlfn.TEXTJOIN(" | ", TRUE, IF($B467 = "", "Missing Title", ""), IF($C467 = "", "Missing Date", ""), IF($D467 = "", "Missing Start", ""), IF($E467 = "", "Missing End", ""), IF($G467 = "", "Missing Required Attendees", ""), IF($T467 = "", "Missing Status", ""), IF(AND($D467 &lt;&gt; "", $E467 &lt;&gt; "", $D467 &gt;= $E467), "Start&gt;=End", ""), IF(OR($R467 = "", LEN($R467) &lt; 60, ISNUMBER(MATCH(TRIM($R467), StatusList, 0))), "Body overwritten/short", ""))) = "", "OK", _xlfn.TEXTJOIN(" | ", TRUE, IF($B467 = "", "Missing Title", ""), IF($C467 = "", "Missing Date", ""), IF($D467 = "", "Missing Start", ""), IF($E467 = "", "Missing End", ""), IF($G467 = "", "Missing Required Attendees", ""), IF($T467 = "", "Missing Status", ""), IF(AND($D467 &lt;&gt; "", $E467 &lt;&gt; "", $D467 &gt;= $E467), "Start&gt;=End", ""), IF(OR($R467 = "", LEN($R467) &lt; 60, ISNUMBER(MATCH(TRIM($R467), StatusList, 0))), "Body overwritten/short", "")))))</f>
        <v/>
      </c>
    </row>
    <row r="468" spans="2:22" ht="12.75" customHeight="1">
      <c r="B468" s="25"/>
      <c r="C468" s="34"/>
      <c r="D468" s="38"/>
      <c r="E468" s="38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16" t="str">
        <f>IF($L468&lt;&gt;"","Purpose "&amp;CHAR(10)&amp;$L468&amp;CHAR(10)&amp;CHAR(10),"")&amp;
IF($M468&lt;&gt;"","Stops (in order) "&amp;CHAR(10)&amp;$M468&amp;CHAR(10)&amp;CHAR(10),"")&amp;
IF($N468&lt;&gt;"","To-Do (hard requirements) "&amp;CHAR(10)&amp;$N468&amp;CHAR(10)&amp;CHAR(10),"")&amp;
IF($O468&lt;&gt;"","Suggested Timeline "&amp;CHAR(10)&amp;$O468&amp;CHAR(10)&amp;CHAR(10),"")&amp;
IF($P468&lt;&gt;"","Guardrails "&amp;CHAR(10)&amp;$P468&amp;CHAR(10)&amp;CHAR(10),"")&amp;
IF($Q468&lt;&gt;"","Completion signals "&amp;CHAR(10)&amp;$Q468,"")</f>
        <v/>
      </c>
      <c r="S468" s="25"/>
      <c r="T468" s="25"/>
      <c r="U468" s="8"/>
      <c r="V468" s="8" t="str">
        <f>_xlfn.SINGLE(IF($B468 = "", "", IF(_xlfn.SINGLE(_xlfn.TEXTJOIN(" | ", TRUE, IF($B468 = "", "Missing Title", ""), IF($C468 = "", "Missing Date", ""), IF($D468 = "", "Missing Start", ""), IF($E468 = "", "Missing End", ""), IF($G468 = "", "Missing Required Attendees", ""), IF($T468 = "", "Missing Status", ""), IF(AND($D468 &lt;&gt; "", $E468 &lt;&gt; "", $D468 &gt;= $E468), "Start&gt;=End", ""), IF(OR($R468 = "", LEN($R468) &lt; 60, ISNUMBER(MATCH(TRIM($R468), StatusList, 0))), "Body overwritten/short", ""))) = "", "OK", _xlfn.TEXTJOIN(" | ", TRUE, IF($B468 = "", "Missing Title", ""), IF($C468 = "", "Missing Date", ""), IF($D468 = "", "Missing Start", ""), IF($E468 = "", "Missing End", ""), IF($G468 = "", "Missing Required Attendees", ""), IF($T468 = "", "Missing Status", ""), IF(AND($D468 &lt;&gt; "", $E468 &lt;&gt; "", $D468 &gt;= $E468), "Start&gt;=End", ""), IF(OR($R468 = "", LEN($R468) &lt; 60, ISNUMBER(MATCH(TRIM($R468), StatusList, 0))), "Body overwritten/short", "")))))</f>
        <v/>
      </c>
    </row>
    <row r="469" spans="2:22" ht="12.75" customHeight="1">
      <c r="B469" s="25"/>
      <c r="C469" s="34"/>
      <c r="D469" s="38"/>
      <c r="E469" s="38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16" t="str">
        <f>IF($L469&lt;&gt;"","Purpose "&amp;CHAR(10)&amp;$L469&amp;CHAR(10)&amp;CHAR(10),"")&amp;
IF($M469&lt;&gt;"","Stops (in order) "&amp;CHAR(10)&amp;$M469&amp;CHAR(10)&amp;CHAR(10),"")&amp;
IF($N469&lt;&gt;"","To-Do (hard requirements) "&amp;CHAR(10)&amp;$N469&amp;CHAR(10)&amp;CHAR(10),"")&amp;
IF($O469&lt;&gt;"","Suggested Timeline "&amp;CHAR(10)&amp;$O469&amp;CHAR(10)&amp;CHAR(10),"")&amp;
IF($P469&lt;&gt;"","Guardrails "&amp;CHAR(10)&amp;$P469&amp;CHAR(10)&amp;CHAR(10),"")&amp;
IF($Q469&lt;&gt;"","Completion signals "&amp;CHAR(10)&amp;$Q469,"")</f>
        <v/>
      </c>
      <c r="S469" s="25"/>
      <c r="T469" s="25"/>
      <c r="U469" s="8"/>
      <c r="V469" s="8" t="str">
        <f>_xlfn.SINGLE(IF($B469 = "", "", IF(_xlfn.SINGLE(_xlfn.TEXTJOIN(" | ", TRUE, IF($B469 = "", "Missing Title", ""), IF($C469 = "", "Missing Date", ""), IF($D469 = "", "Missing Start", ""), IF($E469 = "", "Missing End", ""), IF($G469 = "", "Missing Required Attendees", ""), IF($T469 = "", "Missing Status", ""), IF(AND($D469 &lt;&gt; "", $E469 &lt;&gt; "", $D469 &gt;= $E469), "Start&gt;=End", ""), IF(OR($R469 = "", LEN($R469) &lt; 60, ISNUMBER(MATCH(TRIM($R469), StatusList, 0))), "Body overwritten/short", ""))) = "", "OK", _xlfn.TEXTJOIN(" | ", TRUE, IF($B469 = "", "Missing Title", ""), IF($C469 = "", "Missing Date", ""), IF($D469 = "", "Missing Start", ""), IF($E469 = "", "Missing End", ""), IF($G469 = "", "Missing Required Attendees", ""), IF($T469 = "", "Missing Status", ""), IF(AND($D469 &lt;&gt; "", $E469 &lt;&gt; "", $D469 &gt;= $E469), "Start&gt;=End", ""), IF(OR($R469 = "", LEN($R469) &lt; 60, ISNUMBER(MATCH(TRIM($R469), StatusList, 0))), "Body overwritten/short", "")))))</f>
        <v/>
      </c>
    </row>
    <row r="470" spans="2:22" ht="12.75" customHeight="1">
      <c r="B470" s="25"/>
      <c r="C470" s="34"/>
      <c r="D470" s="38"/>
      <c r="E470" s="38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16" t="str">
        <f>IF($L470&lt;&gt;"","Purpose "&amp;CHAR(10)&amp;$L470&amp;CHAR(10)&amp;CHAR(10),"")&amp;
IF($M470&lt;&gt;"","Stops (in order) "&amp;CHAR(10)&amp;$M470&amp;CHAR(10)&amp;CHAR(10),"")&amp;
IF($N470&lt;&gt;"","To-Do (hard requirements) "&amp;CHAR(10)&amp;$N470&amp;CHAR(10)&amp;CHAR(10),"")&amp;
IF($O470&lt;&gt;"","Suggested Timeline "&amp;CHAR(10)&amp;$O470&amp;CHAR(10)&amp;CHAR(10),"")&amp;
IF($P470&lt;&gt;"","Guardrails "&amp;CHAR(10)&amp;$P470&amp;CHAR(10)&amp;CHAR(10),"")&amp;
IF($Q470&lt;&gt;"","Completion signals "&amp;CHAR(10)&amp;$Q470,"")</f>
        <v/>
      </c>
      <c r="S470" s="25"/>
      <c r="T470" s="25"/>
      <c r="U470" s="8"/>
      <c r="V470" s="8" t="str">
        <f>_xlfn.SINGLE(IF($B470 = "", "", IF(_xlfn.SINGLE(_xlfn.TEXTJOIN(" | ", TRUE, IF($B470 = "", "Missing Title", ""), IF($C470 = "", "Missing Date", ""), IF($D470 = "", "Missing Start", ""), IF($E470 = "", "Missing End", ""), IF($G470 = "", "Missing Required Attendees", ""), IF($T470 = "", "Missing Status", ""), IF(AND($D470 &lt;&gt; "", $E470 &lt;&gt; "", $D470 &gt;= $E470), "Start&gt;=End", ""), IF(OR($R470 = "", LEN($R470) &lt; 60, ISNUMBER(MATCH(TRIM($R470), StatusList, 0))), "Body overwritten/short", ""))) = "", "OK", _xlfn.TEXTJOIN(" | ", TRUE, IF($B470 = "", "Missing Title", ""), IF($C470 = "", "Missing Date", ""), IF($D470 = "", "Missing Start", ""), IF($E470 = "", "Missing End", ""), IF($G470 = "", "Missing Required Attendees", ""), IF($T470 = "", "Missing Status", ""), IF(AND($D470 &lt;&gt; "", $E470 &lt;&gt; "", $D470 &gt;= $E470), "Start&gt;=End", ""), IF(OR($R470 = "", LEN($R470) &lt; 60, ISNUMBER(MATCH(TRIM($R470), StatusList, 0))), "Body overwritten/short", "")))))</f>
        <v/>
      </c>
    </row>
    <row r="471" spans="2:22" ht="12.75" customHeight="1">
      <c r="B471" s="25"/>
      <c r="C471" s="34"/>
      <c r="D471" s="38"/>
      <c r="E471" s="38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16" t="str">
        <f>IF($L471&lt;&gt;"","Purpose "&amp;CHAR(10)&amp;$L471&amp;CHAR(10)&amp;CHAR(10),"")&amp;
IF($M471&lt;&gt;"","Stops (in order) "&amp;CHAR(10)&amp;$M471&amp;CHAR(10)&amp;CHAR(10),"")&amp;
IF($N471&lt;&gt;"","To-Do (hard requirements) "&amp;CHAR(10)&amp;$N471&amp;CHAR(10)&amp;CHAR(10),"")&amp;
IF($O471&lt;&gt;"","Suggested Timeline "&amp;CHAR(10)&amp;$O471&amp;CHAR(10)&amp;CHAR(10),"")&amp;
IF($P471&lt;&gt;"","Guardrails "&amp;CHAR(10)&amp;$P471&amp;CHAR(10)&amp;CHAR(10),"")&amp;
IF($Q471&lt;&gt;"","Completion signals "&amp;CHAR(10)&amp;$Q471,"")</f>
        <v/>
      </c>
      <c r="S471" s="25"/>
      <c r="T471" s="25"/>
      <c r="U471" s="8"/>
      <c r="V471" s="8" t="str">
        <f>_xlfn.SINGLE(IF($B471 = "", "", IF(_xlfn.SINGLE(_xlfn.TEXTJOIN(" | ", TRUE, IF($B471 = "", "Missing Title", ""), IF($C471 = "", "Missing Date", ""), IF($D471 = "", "Missing Start", ""), IF($E471 = "", "Missing End", ""), IF($G471 = "", "Missing Required Attendees", ""), IF($T471 = "", "Missing Status", ""), IF(AND($D471 &lt;&gt; "", $E471 &lt;&gt; "", $D471 &gt;= $E471), "Start&gt;=End", ""), IF(OR($R471 = "", LEN($R471) &lt; 60, ISNUMBER(MATCH(TRIM($R471), StatusList, 0))), "Body overwritten/short", ""))) = "", "OK", _xlfn.TEXTJOIN(" | ", TRUE, IF($B471 = "", "Missing Title", ""), IF($C471 = "", "Missing Date", ""), IF($D471 = "", "Missing Start", ""), IF($E471 = "", "Missing End", ""), IF($G471 = "", "Missing Required Attendees", ""), IF($T471 = "", "Missing Status", ""), IF(AND($D471 &lt;&gt; "", $E471 &lt;&gt; "", $D471 &gt;= $E471), "Start&gt;=End", ""), IF(OR($R471 = "", LEN($R471) &lt; 60, ISNUMBER(MATCH(TRIM($R471), StatusList, 0))), "Body overwritten/short", "")))))</f>
        <v/>
      </c>
    </row>
    <row r="472" spans="2:22" ht="12.75" customHeight="1">
      <c r="B472" s="25"/>
      <c r="C472" s="34"/>
      <c r="D472" s="38"/>
      <c r="E472" s="38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16" t="str">
        <f>IF($L472&lt;&gt;"","Purpose "&amp;CHAR(10)&amp;$L472&amp;CHAR(10)&amp;CHAR(10),"")&amp;
IF($M472&lt;&gt;"","Stops (in order) "&amp;CHAR(10)&amp;$M472&amp;CHAR(10)&amp;CHAR(10),"")&amp;
IF($N472&lt;&gt;"","To-Do (hard requirements) "&amp;CHAR(10)&amp;$N472&amp;CHAR(10)&amp;CHAR(10),"")&amp;
IF($O472&lt;&gt;"","Suggested Timeline "&amp;CHAR(10)&amp;$O472&amp;CHAR(10)&amp;CHAR(10),"")&amp;
IF($P472&lt;&gt;"","Guardrails "&amp;CHAR(10)&amp;$P472&amp;CHAR(10)&amp;CHAR(10),"")&amp;
IF($Q472&lt;&gt;"","Completion signals "&amp;CHAR(10)&amp;$Q472,"")</f>
        <v/>
      </c>
      <c r="S472" s="25"/>
      <c r="T472" s="25"/>
      <c r="U472" s="8"/>
      <c r="V472" s="8" t="str">
        <f>_xlfn.SINGLE(IF($B472 = "", "", IF(_xlfn.SINGLE(_xlfn.TEXTJOIN(" | ", TRUE, IF($B472 = "", "Missing Title", ""), IF($C472 = "", "Missing Date", ""), IF($D472 = "", "Missing Start", ""), IF($E472 = "", "Missing End", ""), IF($G472 = "", "Missing Required Attendees", ""), IF($T472 = "", "Missing Status", ""), IF(AND($D472 &lt;&gt; "", $E472 &lt;&gt; "", $D472 &gt;= $E472), "Start&gt;=End", ""), IF(OR($R472 = "", LEN($R472) &lt; 60, ISNUMBER(MATCH(TRIM($R472), StatusList, 0))), "Body overwritten/short", ""))) = "", "OK", _xlfn.TEXTJOIN(" | ", TRUE, IF($B472 = "", "Missing Title", ""), IF($C472 = "", "Missing Date", ""), IF($D472 = "", "Missing Start", ""), IF($E472 = "", "Missing End", ""), IF($G472 = "", "Missing Required Attendees", ""), IF($T472 = "", "Missing Status", ""), IF(AND($D472 &lt;&gt; "", $E472 &lt;&gt; "", $D472 &gt;= $E472), "Start&gt;=End", ""), IF(OR($R472 = "", LEN($R472) &lt; 60, ISNUMBER(MATCH(TRIM($R472), StatusList, 0))), "Body overwritten/short", "")))))</f>
        <v/>
      </c>
    </row>
    <row r="473" spans="2:22" ht="12.75" customHeight="1">
      <c r="B473" s="25"/>
      <c r="C473" s="34"/>
      <c r="D473" s="38"/>
      <c r="E473" s="38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16" t="str">
        <f>IF($L473&lt;&gt;"","Purpose "&amp;CHAR(10)&amp;$L473&amp;CHAR(10)&amp;CHAR(10),"")&amp;
IF($M473&lt;&gt;"","Stops (in order) "&amp;CHAR(10)&amp;$M473&amp;CHAR(10)&amp;CHAR(10),"")&amp;
IF($N473&lt;&gt;"","To-Do (hard requirements) "&amp;CHAR(10)&amp;$N473&amp;CHAR(10)&amp;CHAR(10),"")&amp;
IF($O473&lt;&gt;"","Suggested Timeline "&amp;CHAR(10)&amp;$O473&amp;CHAR(10)&amp;CHAR(10),"")&amp;
IF($P473&lt;&gt;"","Guardrails "&amp;CHAR(10)&amp;$P473&amp;CHAR(10)&amp;CHAR(10),"")&amp;
IF($Q473&lt;&gt;"","Completion signals "&amp;CHAR(10)&amp;$Q473,"")</f>
        <v/>
      </c>
      <c r="S473" s="25"/>
      <c r="T473" s="25"/>
      <c r="U473" s="8"/>
      <c r="V473" s="8" t="str">
        <f>_xlfn.SINGLE(IF($B473 = "", "", IF(_xlfn.SINGLE(_xlfn.TEXTJOIN(" | ", TRUE, IF($B473 = "", "Missing Title", ""), IF($C473 = "", "Missing Date", ""), IF($D473 = "", "Missing Start", ""), IF($E473 = "", "Missing End", ""), IF($G473 = "", "Missing Required Attendees", ""), IF($T473 = "", "Missing Status", ""), IF(AND($D473 &lt;&gt; "", $E473 &lt;&gt; "", $D473 &gt;= $E473), "Start&gt;=End", ""), IF(OR($R473 = "", LEN($R473) &lt; 60, ISNUMBER(MATCH(TRIM($R473), StatusList, 0))), "Body overwritten/short", ""))) = "", "OK", _xlfn.TEXTJOIN(" | ", TRUE, IF($B473 = "", "Missing Title", ""), IF($C473 = "", "Missing Date", ""), IF($D473 = "", "Missing Start", ""), IF($E473 = "", "Missing End", ""), IF($G473 = "", "Missing Required Attendees", ""), IF($T473 = "", "Missing Status", ""), IF(AND($D473 &lt;&gt; "", $E473 &lt;&gt; "", $D473 &gt;= $E473), "Start&gt;=End", ""), IF(OR($R473 = "", LEN($R473) &lt; 60, ISNUMBER(MATCH(TRIM($R473), StatusList, 0))), "Body overwritten/short", "")))))</f>
        <v/>
      </c>
    </row>
    <row r="474" spans="2:22" ht="12.75" customHeight="1">
      <c r="B474" s="25"/>
      <c r="C474" s="34"/>
      <c r="D474" s="38"/>
      <c r="E474" s="38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16" t="str">
        <f>IF($L474&lt;&gt;"","Purpose "&amp;CHAR(10)&amp;$L474&amp;CHAR(10)&amp;CHAR(10),"")&amp;
IF($M474&lt;&gt;"","Stops (in order) "&amp;CHAR(10)&amp;$M474&amp;CHAR(10)&amp;CHAR(10),"")&amp;
IF($N474&lt;&gt;"","To-Do (hard requirements) "&amp;CHAR(10)&amp;$N474&amp;CHAR(10)&amp;CHAR(10),"")&amp;
IF($O474&lt;&gt;"","Suggested Timeline "&amp;CHAR(10)&amp;$O474&amp;CHAR(10)&amp;CHAR(10),"")&amp;
IF($P474&lt;&gt;"","Guardrails "&amp;CHAR(10)&amp;$P474&amp;CHAR(10)&amp;CHAR(10),"")&amp;
IF($Q474&lt;&gt;"","Completion signals "&amp;CHAR(10)&amp;$Q474,"")</f>
        <v/>
      </c>
      <c r="S474" s="25"/>
      <c r="T474" s="25"/>
      <c r="U474" s="8"/>
      <c r="V474" s="8" t="str">
        <f>_xlfn.SINGLE(IF($B474 = "", "", IF(_xlfn.SINGLE(_xlfn.TEXTJOIN(" | ", TRUE, IF($B474 = "", "Missing Title", ""), IF($C474 = "", "Missing Date", ""), IF($D474 = "", "Missing Start", ""), IF($E474 = "", "Missing End", ""), IF($G474 = "", "Missing Required Attendees", ""), IF($T474 = "", "Missing Status", ""), IF(AND($D474 &lt;&gt; "", $E474 &lt;&gt; "", $D474 &gt;= $E474), "Start&gt;=End", ""), IF(OR($R474 = "", LEN($R474) &lt; 60, ISNUMBER(MATCH(TRIM($R474), StatusList, 0))), "Body overwritten/short", ""))) = "", "OK", _xlfn.TEXTJOIN(" | ", TRUE, IF($B474 = "", "Missing Title", ""), IF($C474 = "", "Missing Date", ""), IF($D474 = "", "Missing Start", ""), IF($E474 = "", "Missing End", ""), IF($G474 = "", "Missing Required Attendees", ""), IF($T474 = "", "Missing Status", ""), IF(AND($D474 &lt;&gt; "", $E474 &lt;&gt; "", $D474 &gt;= $E474), "Start&gt;=End", ""), IF(OR($R474 = "", LEN($R474) &lt; 60, ISNUMBER(MATCH(TRIM($R474), StatusList, 0))), "Body overwritten/short", "")))))</f>
        <v/>
      </c>
    </row>
    <row r="475" spans="2:22" ht="12.75" customHeight="1">
      <c r="B475" s="25"/>
      <c r="C475" s="34"/>
      <c r="D475" s="38"/>
      <c r="E475" s="38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16" t="str">
        <f>IF($L475&lt;&gt;"","Purpose "&amp;CHAR(10)&amp;$L475&amp;CHAR(10)&amp;CHAR(10),"")&amp;
IF($M475&lt;&gt;"","Stops (in order) "&amp;CHAR(10)&amp;$M475&amp;CHAR(10)&amp;CHAR(10),"")&amp;
IF($N475&lt;&gt;"","To-Do (hard requirements) "&amp;CHAR(10)&amp;$N475&amp;CHAR(10)&amp;CHAR(10),"")&amp;
IF($O475&lt;&gt;"","Suggested Timeline "&amp;CHAR(10)&amp;$O475&amp;CHAR(10)&amp;CHAR(10),"")&amp;
IF($P475&lt;&gt;"","Guardrails "&amp;CHAR(10)&amp;$P475&amp;CHAR(10)&amp;CHAR(10),"")&amp;
IF($Q475&lt;&gt;"","Completion signals "&amp;CHAR(10)&amp;$Q475,"")</f>
        <v/>
      </c>
      <c r="S475" s="25"/>
      <c r="T475" s="25"/>
      <c r="U475" s="8"/>
      <c r="V475" s="8" t="str">
        <f>_xlfn.SINGLE(IF($B475 = "", "", IF(_xlfn.SINGLE(_xlfn.TEXTJOIN(" | ", TRUE, IF($B475 = "", "Missing Title", ""), IF($C475 = "", "Missing Date", ""), IF($D475 = "", "Missing Start", ""), IF($E475 = "", "Missing End", ""), IF($G475 = "", "Missing Required Attendees", ""), IF($T475 = "", "Missing Status", ""), IF(AND($D475 &lt;&gt; "", $E475 &lt;&gt; "", $D475 &gt;= $E475), "Start&gt;=End", ""), IF(OR($R475 = "", LEN($R475) &lt; 60, ISNUMBER(MATCH(TRIM($R475), StatusList, 0))), "Body overwritten/short", ""))) = "", "OK", _xlfn.TEXTJOIN(" | ", TRUE, IF($B475 = "", "Missing Title", ""), IF($C475 = "", "Missing Date", ""), IF($D475 = "", "Missing Start", ""), IF($E475 = "", "Missing End", ""), IF($G475 = "", "Missing Required Attendees", ""), IF($T475 = "", "Missing Status", ""), IF(AND($D475 &lt;&gt; "", $E475 &lt;&gt; "", $D475 &gt;= $E475), "Start&gt;=End", ""), IF(OR($R475 = "", LEN($R475) &lt; 60, ISNUMBER(MATCH(TRIM($R475), StatusList, 0))), "Body overwritten/short", "")))))</f>
        <v/>
      </c>
    </row>
    <row r="476" spans="2:22" ht="12.75" customHeight="1">
      <c r="B476" s="25"/>
      <c r="C476" s="34"/>
      <c r="D476" s="38"/>
      <c r="E476" s="38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16" t="str">
        <f>IF($L476&lt;&gt;"","Purpose "&amp;CHAR(10)&amp;$L476&amp;CHAR(10)&amp;CHAR(10),"")&amp;
IF($M476&lt;&gt;"","Stops (in order) "&amp;CHAR(10)&amp;$M476&amp;CHAR(10)&amp;CHAR(10),"")&amp;
IF($N476&lt;&gt;"","To-Do (hard requirements) "&amp;CHAR(10)&amp;$N476&amp;CHAR(10)&amp;CHAR(10),"")&amp;
IF($O476&lt;&gt;"","Suggested Timeline "&amp;CHAR(10)&amp;$O476&amp;CHAR(10)&amp;CHAR(10),"")&amp;
IF($P476&lt;&gt;"","Guardrails "&amp;CHAR(10)&amp;$P476&amp;CHAR(10)&amp;CHAR(10),"")&amp;
IF($Q476&lt;&gt;"","Completion signals "&amp;CHAR(10)&amp;$Q476,"")</f>
        <v/>
      </c>
      <c r="S476" s="25"/>
      <c r="T476" s="25"/>
      <c r="U476" s="8"/>
      <c r="V476" s="8" t="str">
        <f>_xlfn.SINGLE(IF($B476 = "", "", IF(_xlfn.SINGLE(_xlfn.TEXTJOIN(" | ", TRUE, IF($B476 = "", "Missing Title", ""), IF($C476 = "", "Missing Date", ""), IF($D476 = "", "Missing Start", ""), IF($E476 = "", "Missing End", ""), IF($G476 = "", "Missing Required Attendees", ""), IF($T476 = "", "Missing Status", ""), IF(AND($D476 &lt;&gt; "", $E476 &lt;&gt; "", $D476 &gt;= $E476), "Start&gt;=End", ""), IF(OR($R476 = "", LEN($R476) &lt; 60, ISNUMBER(MATCH(TRIM($R476), StatusList, 0))), "Body overwritten/short", ""))) = "", "OK", _xlfn.TEXTJOIN(" | ", TRUE, IF($B476 = "", "Missing Title", ""), IF($C476 = "", "Missing Date", ""), IF($D476 = "", "Missing Start", ""), IF($E476 = "", "Missing End", ""), IF($G476 = "", "Missing Required Attendees", ""), IF($T476 = "", "Missing Status", ""), IF(AND($D476 &lt;&gt; "", $E476 &lt;&gt; "", $D476 &gt;= $E476), "Start&gt;=End", ""), IF(OR($R476 = "", LEN($R476) &lt; 60, ISNUMBER(MATCH(TRIM($R476), StatusList, 0))), "Body overwritten/short", "")))))</f>
        <v/>
      </c>
    </row>
    <row r="477" spans="2:22" ht="12.75" customHeight="1">
      <c r="B477" s="25"/>
      <c r="C477" s="34"/>
      <c r="D477" s="38"/>
      <c r="E477" s="38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16" t="str">
        <f>IF($L477&lt;&gt;"","Purpose "&amp;CHAR(10)&amp;$L477&amp;CHAR(10)&amp;CHAR(10),"")&amp;
IF($M477&lt;&gt;"","Stops (in order) "&amp;CHAR(10)&amp;$M477&amp;CHAR(10)&amp;CHAR(10),"")&amp;
IF($N477&lt;&gt;"","To-Do (hard requirements) "&amp;CHAR(10)&amp;$N477&amp;CHAR(10)&amp;CHAR(10),"")&amp;
IF($O477&lt;&gt;"","Suggested Timeline "&amp;CHAR(10)&amp;$O477&amp;CHAR(10)&amp;CHAR(10),"")&amp;
IF($P477&lt;&gt;"","Guardrails "&amp;CHAR(10)&amp;$P477&amp;CHAR(10)&amp;CHAR(10),"")&amp;
IF($Q477&lt;&gt;"","Completion signals "&amp;CHAR(10)&amp;$Q477,"")</f>
        <v/>
      </c>
      <c r="S477" s="25"/>
      <c r="T477" s="25"/>
      <c r="U477" s="8"/>
      <c r="V477" s="8" t="str">
        <f>_xlfn.SINGLE(IF($B477 = "", "", IF(_xlfn.SINGLE(_xlfn.TEXTJOIN(" | ", TRUE, IF($B477 = "", "Missing Title", ""), IF($C477 = "", "Missing Date", ""), IF($D477 = "", "Missing Start", ""), IF($E477 = "", "Missing End", ""), IF($G477 = "", "Missing Required Attendees", ""), IF($T477 = "", "Missing Status", ""), IF(AND($D477 &lt;&gt; "", $E477 &lt;&gt; "", $D477 &gt;= $E477), "Start&gt;=End", ""), IF(OR($R477 = "", LEN($R477) &lt; 60, ISNUMBER(MATCH(TRIM($R477), StatusList, 0))), "Body overwritten/short", ""))) = "", "OK", _xlfn.TEXTJOIN(" | ", TRUE, IF($B477 = "", "Missing Title", ""), IF($C477 = "", "Missing Date", ""), IF($D477 = "", "Missing Start", ""), IF($E477 = "", "Missing End", ""), IF($G477 = "", "Missing Required Attendees", ""), IF($T477 = "", "Missing Status", ""), IF(AND($D477 &lt;&gt; "", $E477 &lt;&gt; "", $D477 &gt;= $E477), "Start&gt;=End", ""), IF(OR($R477 = "", LEN($R477) &lt; 60, ISNUMBER(MATCH(TRIM($R477), StatusList, 0))), "Body overwritten/short", "")))))</f>
        <v/>
      </c>
    </row>
    <row r="478" spans="2:22" ht="12.75" customHeight="1">
      <c r="B478" s="25"/>
      <c r="C478" s="34"/>
      <c r="D478" s="38"/>
      <c r="E478" s="38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16" t="str">
        <f>IF($L478&lt;&gt;"","Purpose "&amp;CHAR(10)&amp;$L478&amp;CHAR(10)&amp;CHAR(10),"")&amp;
IF($M478&lt;&gt;"","Stops (in order) "&amp;CHAR(10)&amp;$M478&amp;CHAR(10)&amp;CHAR(10),"")&amp;
IF($N478&lt;&gt;"","To-Do (hard requirements) "&amp;CHAR(10)&amp;$N478&amp;CHAR(10)&amp;CHAR(10),"")&amp;
IF($O478&lt;&gt;"","Suggested Timeline "&amp;CHAR(10)&amp;$O478&amp;CHAR(10)&amp;CHAR(10),"")&amp;
IF($P478&lt;&gt;"","Guardrails "&amp;CHAR(10)&amp;$P478&amp;CHAR(10)&amp;CHAR(10),"")&amp;
IF($Q478&lt;&gt;"","Completion signals "&amp;CHAR(10)&amp;$Q478,"")</f>
        <v/>
      </c>
      <c r="S478" s="25"/>
      <c r="T478" s="25"/>
      <c r="U478" s="8"/>
      <c r="V478" s="8" t="str">
        <f>_xlfn.SINGLE(IF($B478 = "", "", IF(_xlfn.SINGLE(_xlfn.TEXTJOIN(" | ", TRUE, IF($B478 = "", "Missing Title", ""), IF($C478 = "", "Missing Date", ""), IF($D478 = "", "Missing Start", ""), IF($E478 = "", "Missing End", ""), IF($G478 = "", "Missing Required Attendees", ""), IF($T478 = "", "Missing Status", ""), IF(AND($D478 &lt;&gt; "", $E478 &lt;&gt; "", $D478 &gt;= $E478), "Start&gt;=End", ""), IF(OR($R478 = "", LEN($R478) &lt; 60, ISNUMBER(MATCH(TRIM($R478), StatusList, 0))), "Body overwritten/short", ""))) = "", "OK", _xlfn.TEXTJOIN(" | ", TRUE, IF($B478 = "", "Missing Title", ""), IF($C478 = "", "Missing Date", ""), IF($D478 = "", "Missing Start", ""), IF($E478 = "", "Missing End", ""), IF($G478 = "", "Missing Required Attendees", ""), IF($T478 = "", "Missing Status", ""), IF(AND($D478 &lt;&gt; "", $E478 &lt;&gt; "", $D478 &gt;= $E478), "Start&gt;=End", ""), IF(OR($R478 = "", LEN($R478) &lt; 60, ISNUMBER(MATCH(TRIM($R478), StatusList, 0))), "Body overwritten/short", "")))))</f>
        <v/>
      </c>
    </row>
    <row r="479" spans="2:22" ht="12.75" customHeight="1">
      <c r="B479" s="25"/>
      <c r="C479" s="34"/>
      <c r="D479" s="38"/>
      <c r="E479" s="38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16" t="str">
        <f>IF($L479&lt;&gt;"","Purpose "&amp;CHAR(10)&amp;$L479&amp;CHAR(10)&amp;CHAR(10),"")&amp;
IF($M479&lt;&gt;"","Stops (in order) "&amp;CHAR(10)&amp;$M479&amp;CHAR(10)&amp;CHAR(10),"")&amp;
IF($N479&lt;&gt;"","To-Do (hard requirements) "&amp;CHAR(10)&amp;$N479&amp;CHAR(10)&amp;CHAR(10),"")&amp;
IF($O479&lt;&gt;"","Suggested Timeline "&amp;CHAR(10)&amp;$O479&amp;CHAR(10)&amp;CHAR(10),"")&amp;
IF($P479&lt;&gt;"","Guardrails "&amp;CHAR(10)&amp;$P479&amp;CHAR(10)&amp;CHAR(10),"")&amp;
IF($Q479&lt;&gt;"","Completion signals "&amp;CHAR(10)&amp;$Q479,"")</f>
        <v/>
      </c>
      <c r="S479" s="25"/>
      <c r="T479" s="25"/>
      <c r="U479" s="8"/>
      <c r="V479" s="8" t="str">
        <f>_xlfn.SINGLE(IF($B479 = "", "", IF(_xlfn.SINGLE(_xlfn.TEXTJOIN(" | ", TRUE, IF($B479 = "", "Missing Title", ""), IF($C479 = "", "Missing Date", ""), IF($D479 = "", "Missing Start", ""), IF($E479 = "", "Missing End", ""), IF($G479 = "", "Missing Required Attendees", ""), IF($T479 = "", "Missing Status", ""), IF(AND($D479 &lt;&gt; "", $E479 &lt;&gt; "", $D479 &gt;= $E479), "Start&gt;=End", ""), IF(OR($R479 = "", LEN($R479) &lt; 60, ISNUMBER(MATCH(TRIM($R479), StatusList, 0))), "Body overwritten/short", ""))) = "", "OK", _xlfn.TEXTJOIN(" | ", TRUE, IF($B479 = "", "Missing Title", ""), IF($C479 = "", "Missing Date", ""), IF($D479 = "", "Missing Start", ""), IF($E479 = "", "Missing End", ""), IF($G479 = "", "Missing Required Attendees", ""), IF($T479 = "", "Missing Status", ""), IF(AND($D479 &lt;&gt; "", $E479 &lt;&gt; "", $D479 &gt;= $E479), "Start&gt;=End", ""), IF(OR($R479 = "", LEN($R479) &lt; 60, ISNUMBER(MATCH(TRIM($R479), StatusList, 0))), "Body overwritten/short", "")))))</f>
        <v/>
      </c>
    </row>
    <row r="480" spans="2:22" ht="12.75" customHeight="1">
      <c r="B480" s="25"/>
      <c r="C480" s="34"/>
      <c r="D480" s="38"/>
      <c r="E480" s="38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16" t="str">
        <f>IF($L480&lt;&gt;"","Purpose "&amp;CHAR(10)&amp;$L480&amp;CHAR(10)&amp;CHAR(10),"")&amp;
IF($M480&lt;&gt;"","Stops (in order) "&amp;CHAR(10)&amp;$M480&amp;CHAR(10)&amp;CHAR(10),"")&amp;
IF($N480&lt;&gt;"","To-Do (hard requirements) "&amp;CHAR(10)&amp;$N480&amp;CHAR(10)&amp;CHAR(10),"")&amp;
IF($O480&lt;&gt;"","Suggested Timeline "&amp;CHAR(10)&amp;$O480&amp;CHAR(10)&amp;CHAR(10),"")&amp;
IF($P480&lt;&gt;"","Guardrails "&amp;CHAR(10)&amp;$P480&amp;CHAR(10)&amp;CHAR(10),"")&amp;
IF($Q480&lt;&gt;"","Completion signals "&amp;CHAR(10)&amp;$Q480,"")</f>
        <v/>
      </c>
      <c r="S480" s="25"/>
      <c r="T480" s="25"/>
      <c r="U480" s="8"/>
      <c r="V480" s="8" t="str">
        <f>_xlfn.SINGLE(IF($B480 = "", "", IF(_xlfn.SINGLE(_xlfn.TEXTJOIN(" | ", TRUE, IF($B480 = "", "Missing Title", ""), IF($C480 = "", "Missing Date", ""), IF($D480 = "", "Missing Start", ""), IF($E480 = "", "Missing End", ""), IF($G480 = "", "Missing Required Attendees", ""), IF($T480 = "", "Missing Status", ""), IF(AND($D480 &lt;&gt; "", $E480 &lt;&gt; "", $D480 &gt;= $E480), "Start&gt;=End", ""), IF(OR($R480 = "", LEN($R480) &lt; 60, ISNUMBER(MATCH(TRIM($R480), StatusList, 0))), "Body overwritten/short", ""))) = "", "OK", _xlfn.TEXTJOIN(" | ", TRUE, IF($B480 = "", "Missing Title", ""), IF($C480 = "", "Missing Date", ""), IF($D480 = "", "Missing Start", ""), IF($E480 = "", "Missing End", ""), IF($G480 = "", "Missing Required Attendees", ""), IF($T480 = "", "Missing Status", ""), IF(AND($D480 &lt;&gt; "", $E480 &lt;&gt; "", $D480 &gt;= $E480), "Start&gt;=End", ""), IF(OR($R480 = "", LEN($R480) &lt; 60, ISNUMBER(MATCH(TRIM($R480), StatusList, 0))), "Body overwritten/short", "")))))</f>
        <v/>
      </c>
    </row>
    <row r="481" spans="2:22" ht="12.75" customHeight="1">
      <c r="B481" s="25"/>
      <c r="C481" s="34"/>
      <c r="D481" s="38"/>
      <c r="E481" s="38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16" t="str">
        <f>IF($L481&lt;&gt;"","Purpose "&amp;CHAR(10)&amp;$L481&amp;CHAR(10)&amp;CHAR(10),"")&amp;
IF($M481&lt;&gt;"","Stops (in order) "&amp;CHAR(10)&amp;$M481&amp;CHAR(10)&amp;CHAR(10),"")&amp;
IF($N481&lt;&gt;"","To-Do (hard requirements) "&amp;CHAR(10)&amp;$N481&amp;CHAR(10)&amp;CHAR(10),"")&amp;
IF($O481&lt;&gt;"","Suggested Timeline "&amp;CHAR(10)&amp;$O481&amp;CHAR(10)&amp;CHAR(10),"")&amp;
IF($P481&lt;&gt;"","Guardrails "&amp;CHAR(10)&amp;$P481&amp;CHAR(10)&amp;CHAR(10),"")&amp;
IF($Q481&lt;&gt;"","Completion signals "&amp;CHAR(10)&amp;$Q481,"")</f>
        <v/>
      </c>
      <c r="S481" s="25"/>
      <c r="T481" s="25"/>
      <c r="U481" s="8"/>
      <c r="V481" s="8" t="str">
        <f>_xlfn.SINGLE(IF($B481 = "", "", IF(_xlfn.SINGLE(_xlfn.TEXTJOIN(" | ", TRUE, IF($B481 = "", "Missing Title", ""), IF($C481 = "", "Missing Date", ""), IF($D481 = "", "Missing Start", ""), IF($E481 = "", "Missing End", ""), IF($G481 = "", "Missing Required Attendees", ""), IF($T481 = "", "Missing Status", ""), IF(AND($D481 &lt;&gt; "", $E481 &lt;&gt; "", $D481 &gt;= $E481), "Start&gt;=End", ""), IF(OR($R481 = "", LEN($R481) &lt; 60, ISNUMBER(MATCH(TRIM($R481), StatusList, 0))), "Body overwritten/short", ""))) = "", "OK", _xlfn.TEXTJOIN(" | ", TRUE, IF($B481 = "", "Missing Title", ""), IF($C481 = "", "Missing Date", ""), IF($D481 = "", "Missing Start", ""), IF($E481 = "", "Missing End", ""), IF($G481 = "", "Missing Required Attendees", ""), IF($T481 = "", "Missing Status", ""), IF(AND($D481 &lt;&gt; "", $E481 &lt;&gt; "", $D481 &gt;= $E481), "Start&gt;=End", ""), IF(OR($R481 = "", LEN($R481) &lt; 60, ISNUMBER(MATCH(TRIM($R481), StatusList, 0))), "Body overwritten/short", "")))))</f>
        <v/>
      </c>
    </row>
    <row r="482" spans="2:22" ht="12.75" customHeight="1">
      <c r="B482" s="25"/>
      <c r="C482" s="34"/>
      <c r="D482" s="38"/>
      <c r="E482" s="38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16" t="str">
        <f>IF($L482&lt;&gt;"","Purpose "&amp;CHAR(10)&amp;$L482&amp;CHAR(10)&amp;CHAR(10),"")&amp;
IF($M482&lt;&gt;"","Stops (in order) "&amp;CHAR(10)&amp;$M482&amp;CHAR(10)&amp;CHAR(10),"")&amp;
IF($N482&lt;&gt;"","To-Do (hard requirements) "&amp;CHAR(10)&amp;$N482&amp;CHAR(10)&amp;CHAR(10),"")&amp;
IF($O482&lt;&gt;"","Suggested Timeline "&amp;CHAR(10)&amp;$O482&amp;CHAR(10)&amp;CHAR(10),"")&amp;
IF($P482&lt;&gt;"","Guardrails "&amp;CHAR(10)&amp;$P482&amp;CHAR(10)&amp;CHAR(10),"")&amp;
IF($Q482&lt;&gt;"","Completion signals "&amp;CHAR(10)&amp;$Q482,"")</f>
        <v/>
      </c>
      <c r="S482" s="25"/>
      <c r="T482" s="25"/>
      <c r="U482" s="8"/>
      <c r="V482" s="8" t="str">
        <f>_xlfn.SINGLE(IF($B482 = "", "", IF(_xlfn.SINGLE(_xlfn.TEXTJOIN(" | ", TRUE, IF($B482 = "", "Missing Title", ""), IF($C482 = "", "Missing Date", ""), IF($D482 = "", "Missing Start", ""), IF($E482 = "", "Missing End", ""), IF($G482 = "", "Missing Required Attendees", ""), IF($T482 = "", "Missing Status", ""), IF(AND($D482 &lt;&gt; "", $E482 &lt;&gt; "", $D482 &gt;= $E482), "Start&gt;=End", ""), IF(OR($R482 = "", LEN($R482) &lt; 60, ISNUMBER(MATCH(TRIM($R482), StatusList, 0))), "Body overwritten/short", ""))) = "", "OK", _xlfn.TEXTJOIN(" | ", TRUE, IF($B482 = "", "Missing Title", ""), IF($C482 = "", "Missing Date", ""), IF($D482 = "", "Missing Start", ""), IF($E482 = "", "Missing End", ""), IF($G482 = "", "Missing Required Attendees", ""), IF($T482 = "", "Missing Status", ""), IF(AND($D482 &lt;&gt; "", $E482 &lt;&gt; "", $D482 &gt;= $E482), "Start&gt;=End", ""), IF(OR($R482 = "", LEN($R482) &lt; 60, ISNUMBER(MATCH(TRIM($R482), StatusList, 0))), "Body overwritten/short", "")))))</f>
        <v/>
      </c>
    </row>
    <row r="483" spans="2:22" ht="12.75" customHeight="1">
      <c r="B483" s="25"/>
      <c r="C483" s="34"/>
      <c r="D483" s="38"/>
      <c r="E483" s="38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16" t="str">
        <f>IF($L483&lt;&gt;"","Purpose "&amp;CHAR(10)&amp;$L483&amp;CHAR(10)&amp;CHAR(10),"")&amp;
IF($M483&lt;&gt;"","Stops (in order) "&amp;CHAR(10)&amp;$M483&amp;CHAR(10)&amp;CHAR(10),"")&amp;
IF($N483&lt;&gt;"","To-Do (hard requirements) "&amp;CHAR(10)&amp;$N483&amp;CHAR(10)&amp;CHAR(10),"")&amp;
IF($O483&lt;&gt;"","Suggested Timeline "&amp;CHAR(10)&amp;$O483&amp;CHAR(10)&amp;CHAR(10),"")&amp;
IF($P483&lt;&gt;"","Guardrails "&amp;CHAR(10)&amp;$P483&amp;CHAR(10)&amp;CHAR(10),"")&amp;
IF($Q483&lt;&gt;"","Completion signals "&amp;CHAR(10)&amp;$Q483,"")</f>
        <v/>
      </c>
      <c r="S483" s="25"/>
      <c r="T483" s="25"/>
      <c r="U483" s="8"/>
      <c r="V483" s="8" t="str">
        <f>_xlfn.SINGLE(IF($B483 = "", "", IF(_xlfn.SINGLE(_xlfn.TEXTJOIN(" | ", TRUE, IF($B483 = "", "Missing Title", ""), IF($C483 = "", "Missing Date", ""), IF($D483 = "", "Missing Start", ""), IF($E483 = "", "Missing End", ""), IF($G483 = "", "Missing Required Attendees", ""), IF($T483 = "", "Missing Status", ""), IF(AND($D483 &lt;&gt; "", $E483 &lt;&gt; "", $D483 &gt;= $E483), "Start&gt;=End", ""), IF(OR($R483 = "", LEN($R483) &lt; 60, ISNUMBER(MATCH(TRIM($R483), StatusList, 0))), "Body overwritten/short", ""))) = "", "OK", _xlfn.TEXTJOIN(" | ", TRUE, IF($B483 = "", "Missing Title", ""), IF($C483 = "", "Missing Date", ""), IF($D483 = "", "Missing Start", ""), IF($E483 = "", "Missing End", ""), IF($G483 = "", "Missing Required Attendees", ""), IF($T483 = "", "Missing Status", ""), IF(AND($D483 &lt;&gt; "", $E483 &lt;&gt; "", $D483 &gt;= $E483), "Start&gt;=End", ""), IF(OR($R483 = "", LEN($R483) &lt; 60, ISNUMBER(MATCH(TRIM($R483), StatusList, 0))), "Body overwritten/short", "")))))</f>
        <v/>
      </c>
    </row>
    <row r="484" spans="2:22" ht="12.75" customHeight="1">
      <c r="B484" s="25"/>
      <c r="C484" s="34"/>
      <c r="D484" s="38"/>
      <c r="E484" s="38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16" t="str">
        <f>IF($L484&lt;&gt;"","Purpose "&amp;CHAR(10)&amp;$L484&amp;CHAR(10)&amp;CHAR(10),"")&amp;
IF($M484&lt;&gt;"","Stops (in order) "&amp;CHAR(10)&amp;$M484&amp;CHAR(10)&amp;CHAR(10),"")&amp;
IF($N484&lt;&gt;"","To-Do (hard requirements) "&amp;CHAR(10)&amp;$N484&amp;CHAR(10)&amp;CHAR(10),"")&amp;
IF($O484&lt;&gt;"","Suggested Timeline "&amp;CHAR(10)&amp;$O484&amp;CHAR(10)&amp;CHAR(10),"")&amp;
IF($P484&lt;&gt;"","Guardrails "&amp;CHAR(10)&amp;$P484&amp;CHAR(10)&amp;CHAR(10),"")&amp;
IF($Q484&lt;&gt;"","Completion signals "&amp;CHAR(10)&amp;$Q484,"")</f>
        <v/>
      </c>
      <c r="S484" s="25"/>
      <c r="T484" s="25"/>
      <c r="U484" s="8"/>
      <c r="V484" s="8" t="str">
        <f>_xlfn.SINGLE(IF($B484 = "", "", IF(_xlfn.SINGLE(_xlfn.TEXTJOIN(" | ", TRUE, IF($B484 = "", "Missing Title", ""), IF($C484 = "", "Missing Date", ""), IF($D484 = "", "Missing Start", ""), IF($E484 = "", "Missing End", ""), IF($G484 = "", "Missing Required Attendees", ""), IF($T484 = "", "Missing Status", ""), IF(AND($D484 &lt;&gt; "", $E484 &lt;&gt; "", $D484 &gt;= $E484), "Start&gt;=End", ""), IF(OR($R484 = "", LEN($R484) &lt; 60, ISNUMBER(MATCH(TRIM($R484), StatusList, 0))), "Body overwritten/short", ""))) = "", "OK", _xlfn.TEXTJOIN(" | ", TRUE, IF($B484 = "", "Missing Title", ""), IF($C484 = "", "Missing Date", ""), IF($D484 = "", "Missing Start", ""), IF($E484 = "", "Missing End", ""), IF($G484 = "", "Missing Required Attendees", ""), IF($T484 = "", "Missing Status", ""), IF(AND($D484 &lt;&gt; "", $E484 &lt;&gt; "", $D484 &gt;= $E484), "Start&gt;=End", ""), IF(OR($R484 = "", LEN($R484) &lt; 60, ISNUMBER(MATCH(TRIM($R484), StatusList, 0))), "Body overwritten/short", "")))))</f>
        <v/>
      </c>
    </row>
    <row r="485" spans="2:22" ht="12.75" customHeight="1">
      <c r="B485" s="25"/>
      <c r="C485" s="34"/>
      <c r="D485" s="38"/>
      <c r="E485" s="38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16" t="str">
        <f>IF($L485&lt;&gt;"","Purpose "&amp;CHAR(10)&amp;$L485&amp;CHAR(10)&amp;CHAR(10),"")&amp;
IF($M485&lt;&gt;"","Stops (in order) "&amp;CHAR(10)&amp;$M485&amp;CHAR(10)&amp;CHAR(10),"")&amp;
IF($N485&lt;&gt;"","To-Do (hard requirements) "&amp;CHAR(10)&amp;$N485&amp;CHAR(10)&amp;CHAR(10),"")&amp;
IF($O485&lt;&gt;"","Suggested Timeline "&amp;CHAR(10)&amp;$O485&amp;CHAR(10)&amp;CHAR(10),"")&amp;
IF($P485&lt;&gt;"","Guardrails "&amp;CHAR(10)&amp;$P485&amp;CHAR(10)&amp;CHAR(10),"")&amp;
IF($Q485&lt;&gt;"","Completion signals "&amp;CHAR(10)&amp;$Q485,"")</f>
        <v/>
      </c>
      <c r="S485" s="25"/>
      <c r="T485" s="25"/>
      <c r="U485" s="8"/>
      <c r="V485" s="8" t="str">
        <f>_xlfn.SINGLE(IF($B485 = "", "", IF(_xlfn.SINGLE(_xlfn.TEXTJOIN(" | ", TRUE, IF($B485 = "", "Missing Title", ""), IF($C485 = "", "Missing Date", ""), IF($D485 = "", "Missing Start", ""), IF($E485 = "", "Missing End", ""), IF($G485 = "", "Missing Required Attendees", ""), IF($T485 = "", "Missing Status", ""), IF(AND($D485 &lt;&gt; "", $E485 &lt;&gt; "", $D485 &gt;= $E485), "Start&gt;=End", ""), IF(OR($R485 = "", LEN($R485) &lt; 60, ISNUMBER(MATCH(TRIM($R485), StatusList, 0))), "Body overwritten/short", ""))) = "", "OK", _xlfn.TEXTJOIN(" | ", TRUE, IF($B485 = "", "Missing Title", ""), IF($C485 = "", "Missing Date", ""), IF($D485 = "", "Missing Start", ""), IF($E485 = "", "Missing End", ""), IF($G485 = "", "Missing Required Attendees", ""), IF($T485 = "", "Missing Status", ""), IF(AND($D485 &lt;&gt; "", $E485 &lt;&gt; "", $D485 &gt;= $E485), "Start&gt;=End", ""), IF(OR($R485 = "", LEN($R485) &lt; 60, ISNUMBER(MATCH(TRIM($R485), StatusList, 0))), "Body overwritten/short", "")))))</f>
        <v/>
      </c>
    </row>
    <row r="486" spans="2:22" ht="12.75" customHeight="1">
      <c r="B486" s="25"/>
      <c r="C486" s="34"/>
      <c r="D486" s="38"/>
      <c r="E486" s="38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16" t="str">
        <f>IF($L486&lt;&gt;"","Purpose "&amp;CHAR(10)&amp;$L486&amp;CHAR(10)&amp;CHAR(10),"")&amp;
IF($M486&lt;&gt;"","Stops (in order) "&amp;CHAR(10)&amp;$M486&amp;CHAR(10)&amp;CHAR(10),"")&amp;
IF($N486&lt;&gt;"","To-Do (hard requirements) "&amp;CHAR(10)&amp;$N486&amp;CHAR(10)&amp;CHAR(10),"")&amp;
IF($O486&lt;&gt;"","Suggested Timeline "&amp;CHAR(10)&amp;$O486&amp;CHAR(10)&amp;CHAR(10),"")&amp;
IF($P486&lt;&gt;"","Guardrails "&amp;CHAR(10)&amp;$P486&amp;CHAR(10)&amp;CHAR(10),"")&amp;
IF($Q486&lt;&gt;"","Completion signals "&amp;CHAR(10)&amp;$Q486,"")</f>
        <v/>
      </c>
      <c r="S486" s="25"/>
      <c r="T486" s="25"/>
      <c r="U486" s="8"/>
      <c r="V486" s="8" t="str">
        <f>_xlfn.SINGLE(IF($B486 = "", "", IF(_xlfn.SINGLE(_xlfn.TEXTJOIN(" | ", TRUE, IF($B486 = "", "Missing Title", ""), IF($C486 = "", "Missing Date", ""), IF($D486 = "", "Missing Start", ""), IF($E486 = "", "Missing End", ""), IF($G486 = "", "Missing Required Attendees", ""), IF($T486 = "", "Missing Status", ""), IF(AND($D486 &lt;&gt; "", $E486 &lt;&gt; "", $D486 &gt;= $E486), "Start&gt;=End", ""), IF(OR($R486 = "", LEN($R486) &lt; 60, ISNUMBER(MATCH(TRIM($R486), StatusList, 0))), "Body overwritten/short", ""))) = "", "OK", _xlfn.TEXTJOIN(" | ", TRUE, IF($B486 = "", "Missing Title", ""), IF($C486 = "", "Missing Date", ""), IF($D486 = "", "Missing Start", ""), IF($E486 = "", "Missing End", ""), IF($G486 = "", "Missing Required Attendees", ""), IF($T486 = "", "Missing Status", ""), IF(AND($D486 &lt;&gt; "", $E486 &lt;&gt; "", $D486 &gt;= $E486), "Start&gt;=End", ""), IF(OR($R486 = "", LEN($R486) &lt; 60, ISNUMBER(MATCH(TRIM($R486), StatusList, 0))), "Body overwritten/short", "")))))</f>
        <v/>
      </c>
    </row>
    <row r="487" spans="2:22" ht="12.75" customHeight="1">
      <c r="B487" s="25"/>
      <c r="C487" s="34"/>
      <c r="D487" s="38"/>
      <c r="E487" s="38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16" t="str">
        <f>IF($L487&lt;&gt;"","Purpose "&amp;CHAR(10)&amp;$L487&amp;CHAR(10)&amp;CHAR(10),"")&amp;
IF($M487&lt;&gt;"","Stops (in order) "&amp;CHAR(10)&amp;$M487&amp;CHAR(10)&amp;CHAR(10),"")&amp;
IF($N487&lt;&gt;"","To-Do (hard requirements) "&amp;CHAR(10)&amp;$N487&amp;CHAR(10)&amp;CHAR(10),"")&amp;
IF($O487&lt;&gt;"","Suggested Timeline "&amp;CHAR(10)&amp;$O487&amp;CHAR(10)&amp;CHAR(10),"")&amp;
IF($P487&lt;&gt;"","Guardrails "&amp;CHAR(10)&amp;$P487&amp;CHAR(10)&amp;CHAR(10),"")&amp;
IF($Q487&lt;&gt;"","Completion signals "&amp;CHAR(10)&amp;$Q487,"")</f>
        <v/>
      </c>
      <c r="S487" s="25"/>
      <c r="T487" s="25"/>
      <c r="U487" s="8"/>
      <c r="V487" s="8" t="str">
        <f>_xlfn.SINGLE(IF($B487 = "", "", IF(_xlfn.SINGLE(_xlfn.TEXTJOIN(" | ", TRUE, IF($B487 = "", "Missing Title", ""), IF($C487 = "", "Missing Date", ""), IF($D487 = "", "Missing Start", ""), IF($E487 = "", "Missing End", ""), IF($G487 = "", "Missing Required Attendees", ""), IF($T487 = "", "Missing Status", ""), IF(AND($D487 &lt;&gt; "", $E487 &lt;&gt; "", $D487 &gt;= $E487), "Start&gt;=End", ""), IF(OR($R487 = "", LEN($R487) &lt; 60, ISNUMBER(MATCH(TRIM($R487), StatusList, 0))), "Body overwritten/short", ""))) = "", "OK", _xlfn.TEXTJOIN(" | ", TRUE, IF($B487 = "", "Missing Title", ""), IF($C487 = "", "Missing Date", ""), IF($D487 = "", "Missing Start", ""), IF($E487 = "", "Missing End", ""), IF($G487 = "", "Missing Required Attendees", ""), IF($T487 = "", "Missing Status", ""), IF(AND($D487 &lt;&gt; "", $E487 &lt;&gt; "", $D487 &gt;= $E487), "Start&gt;=End", ""), IF(OR($R487 = "", LEN($R487) &lt; 60, ISNUMBER(MATCH(TRIM($R487), StatusList, 0))), "Body overwritten/short", "")))))</f>
        <v/>
      </c>
    </row>
    <row r="488" spans="2:22" ht="12.75" customHeight="1">
      <c r="B488" s="25"/>
      <c r="C488" s="34"/>
      <c r="D488" s="38"/>
      <c r="E488" s="38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16" t="str">
        <f>IF($L488&lt;&gt;"","Purpose "&amp;CHAR(10)&amp;$L488&amp;CHAR(10)&amp;CHAR(10),"")&amp;
IF($M488&lt;&gt;"","Stops (in order) "&amp;CHAR(10)&amp;$M488&amp;CHAR(10)&amp;CHAR(10),"")&amp;
IF($N488&lt;&gt;"","To-Do (hard requirements) "&amp;CHAR(10)&amp;$N488&amp;CHAR(10)&amp;CHAR(10),"")&amp;
IF($O488&lt;&gt;"","Suggested Timeline "&amp;CHAR(10)&amp;$O488&amp;CHAR(10)&amp;CHAR(10),"")&amp;
IF($P488&lt;&gt;"","Guardrails "&amp;CHAR(10)&amp;$P488&amp;CHAR(10)&amp;CHAR(10),"")&amp;
IF($Q488&lt;&gt;"","Completion signals "&amp;CHAR(10)&amp;$Q488,"")</f>
        <v/>
      </c>
      <c r="S488" s="25"/>
      <c r="T488" s="25"/>
      <c r="U488" s="8"/>
      <c r="V488" s="8" t="str">
        <f>_xlfn.SINGLE(IF($B488 = "", "", IF(_xlfn.SINGLE(_xlfn.TEXTJOIN(" | ", TRUE, IF($B488 = "", "Missing Title", ""), IF($C488 = "", "Missing Date", ""), IF($D488 = "", "Missing Start", ""), IF($E488 = "", "Missing End", ""), IF($G488 = "", "Missing Required Attendees", ""), IF($T488 = "", "Missing Status", ""), IF(AND($D488 &lt;&gt; "", $E488 &lt;&gt; "", $D488 &gt;= $E488), "Start&gt;=End", ""), IF(OR($R488 = "", LEN($R488) &lt; 60, ISNUMBER(MATCH(TRIM($R488), StatusList, 0))), "Body overwritten/short", ""))) = "", "OK", _xlfn.TEXTJOIN(" | ", TRUE, IF($B488 = "", "Missing Title", ""), IF($C488 = "", "Missing Date", ""), IF($D488 = "", "Missing Start", ""), IF($E488 = "", "Missing End", ""), IF($G488 = "", "Missing Required Attendees", ""), IF($T488 = "", "Missing Status", ""), IF(AND($D488 &lt;&gt; "", $E488 &lt;&gt; "", $D488 &gt;= $E488), "Start&gt;=End", ""), IF(OR($R488 = "", LEN($R488) &lt; 60, ISNUMBER(MATCH(TRIM($R488), StatusList, 0))), "Body overwritten/short", "")))))</f>
        <v/>
      </c>
    </row>
    <row r="489" spans="2:22" ht="12.75" customHeight="1">
      <c r="B489" s="25"/>
      <c r="C489" s="34"/>
      <c r="D489" s="38"/>
      <c r="E489" s="38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16" t="str">
        <f>IF($L489&lt;&gt;"","Purpose "&amp;CHAR(10)&amp;$L489&amp;CHAR(10)&amp;CHAR(10),"")&amp;
IF($M489&lt;&gt;"","Stops (in order) "&amp;CHAR(10)&amp;$M489&amp;CHAR(10)&amp;CHAR(10),"")&amp;
IF($N489&lt;&gt;"","To-Do (hard requirements) "&amp;CHAR(10)&amp;$N489&amp;CHAR(10)&amp;CHAR(10),"")&amp;
IF($O489&lt;&gt;"","Suggested Timeline "&amp;CHAR(10)&amp;$O489&amp;CHAR(10)&amp;CHAR(10),"")&amp;
IF($P489&lt;&gt;"","Guardrails "&amp;CHAR(10)&amp;$P489&amp;CHAR(10)&amp;CHAR(10),"")&amp;
IF($Q489&lt;&gt;"","Completion signals "&amp;CHAR(10)&amp;$Q489,"")</f>
        <v/>
      </c>
      <c r="S489" s="25"/>
      <c r="T489" s="25"/>
      <c r="U489" s="8"/>
      <c r="V489" s="8" t="str">
        <f>_xlfn.SINGLE(IF($B489 = "", "", IF(_xlfn.SINGLE(_xlfn.TEXTJOIN(" | ", TRUE, IF($B489 = "", "Missing Title", ""), IF($C489 = "", "Missing Date", ""), IF($D489 = "", "Missing Start", ""), IF($E489 = "", "Missing End", ""), IF($G489 = "", "Missing Required Attendees", ""), IF($T489 = "", "Missing Status", ""), IF(AND($D489 &lt;&gt; "", $E489 &lt;&gt; "", $D489 &gt;= $E489), "Start&gt;=End", ""), IF(OR($R489 = "", LEN($R489) &lt; 60, ISNUMBER(MATCH(TRIM($R489), StatusList, 0))), "Body overwritten/short", ""))) = "", "OK", _xlfn.TEXTJOIN(" | ", TRUE, IF($B489 = "", "Missing Title", ""), IF($C489 = "", "Missing Date", ""), IF($D489 = "", "Missing Start", ""), IF($E489 = "", "Missing End", ""), IF($G489 = "", "Missing Required Attendees", ""), IF($T489 = "", "Missing Status", ""), IF(AND($D489 &lt;&gt; "", $E489 &lt;&gt; "", $D489 &gt;= $E489), "Start&gt;=End", ""), IF(OR($R489 = "", LEN($R489) &lt; 60, ISNUMBER(MATCH(TRIM($R489), StatusList, 0))), "Body overwritten/short", "")))))</f>
        <v/>
      </c>
    </row>
    <row r="490" spans="2:22" ht="12.75" customHeight="1">
      <c r="B490" s="25"/>
      <c r="C490" s="34"/>
      <c r="D490" s="38"/>
      <c r="E490" s="38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16" t="str">
        <f>IF($L490&lt;&gt;"","Purpose "&amp;CHAR(10)&amp;$L490&amp;CHAR(10)&amp;CHAR(10),"")&amp;
IF($M490&lt;&gt;"","Stops (in order) "&amp;CHAR(10)&amp;$M490&amp;CHAR(10)&amp;CHAR(10),"")&amp;
IF($N490&lt;&gt;"","To-Do (hard requirements) "&amp;CHAR(10)&amp;$N490&amp;CHAR(10)&amp;CHAR(10),"")&amp;
IF($O490&lt;&gt;"","Suggested Timeline "&amp;CHAR(10)&amp;$O490&amp;CHAR(10)&amp;CHAR(10),"")&amp;
IF($P490&lt;&gt;"","Guardrails "&amp;CHAR(10)&amp;$P490&amp;CHAR(10)&amp;CHAR(10),"")&amp;
IF($Q490&lt;&gt;"","Completion signals "&amp;CHAR(10)&amp;$Q490,"")</f>
        <v/>
      </c>
      <c r="S490" s="25"/>
      <c r="T490" s="25"/>
      <c r="U490" s="8"/>
      <c r="V490" s="8" t="str">
        <f>_xlfn.SINGLE(IF($B490 = "", "", IF(_xlfn.SINGLE(_xlfn.TEXTJOIN(" | ", TRUE, IF($B490 = "", "Missing Title", ""), IF($C490 = "", "Missing Date", ""), IF($D490 = "", "Missing Start", ""), IF($E490 = "", "Missing End", ""), IF($G490 = "", "Missing Required Attendees", ""), IF($T490 = "", "Missing Status", ""), IF(AND($D490 &lt;&gt; "", $E490 &lt;&gt; "", $D490 &gt;= $E490), "Start&gt;=End", ""), IF(OR($R490 = "", LEN($R490) &lt; 60, ISNUMBER(MATCH(TRIM($R490), StatusList, 0))), "Body overwritten/short", ""))) = "", "OK", _xlfn.TEXTJOIN(" | ", TRUE, IF($B490 = "", "Missing Title", ""), IF($C490 = "", "Missing Date", ""), IF($D490 = "", "Missing Start", ""), IF($E490 = "", "Missing End", ""), IF($G490 = "", "Missing Required Attendees", ""), IF($T490 = "", "Missing Status", ""), IF(AND($D490 &lt;&gt; "", $E490 &lt;&gt; "", $D490 &gt;= $E490), "Start&gt;=End", ""), IF(OR($R490 = "", LEN($R490) &lt; 60, ISNUMBER(MATCH(TRIM($R490), StatusList, 0))), "Body overwritten/short", "")))))</f>
        <v/>
      </c>
    </row>
    <row r="491" spans="2:22" ht="12.75" customHeight="1">
      <c r="B491" s="25"/>
      <c r="C491" s="34"/>
      <c r="D491" s="38"/>
      <c r="E491" s="38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16" t="str">
        <f>IF($L491&lt;&gt;"","Purpose "&amp;CHAR(10)&amp;$L491&amp;CHAR(10)&amp;CHAR(10),"")&amp;
IF($M491&lt;&gt;"","Stops (in order) "&amp;CHAR(10)&amp;$M491&amp;CHAR(10)&amp;CHAR(10),"")&amp;
IF($N491&lt;&gt;"","To-Do (hard requirements) "&amp;CHAR(10)&amp;$N491&amp;CHAR(10)&amp;CHAR(10),"")&amp;
IF($O491&lt;&gt;"","Suggested Timeline "&amp;CHAR(10)&amp;$O491&amp;CHAR(10)&amp;CHAR(10),"")&amp;
IF($P491&lt;&gt;"","Guardrails "&amp;CHAR(10)&amp;$P491&amp;CHAR(10)&amp;CHAR(10),"")&amp;
IF($Q491&lt;&gt;"","Completion signals "&amp;CHAR(10)&amp;$Q491,"")</f>
        <v/>
      </c>
      <c r="S491" s="25"/>
      <c r="T491" s="25"/>
      <c r="U491" s="8"/>
      <c r="V491" s="8" t="str">
        <f>_xlfn.SINGLE(IF($B491 = "", "", IF(_xlfn.SINGLE(_xlfn.TEXTJOIN(" | ", TRUE, IF($B491 = "", "Missing Title", ""), IF($C491 = "", "Missing Date", ""), IF($D491 = "", "Missing Start", ""), IF($E491 = "", "Missing End", ""), IF($G491 = "", "Missing Required Attendees", ""), IF($T491 = "", "Missing Status", ""), IF(AND($D491 &lt;&gt; "", $E491 &lt;&gt; "", $D491 &gt;= $E491), "Start&gt;=End", ""), IF(OR($R491 = "", LEN($R491) &lt; 60, ISNUMBER(MATCH(TRIM($R491), StatusList, 0))), "Body overwritten/short", ""))) = "", "OK", _xlfn.TEXTJOIN(" | ", TRUE, IF($B491 = "", "Missing Title", ""), IF($C491 = "", "Missing Date", ""), IF($D491 = "", "Missing Start", ""), IF($E491 = "", "Missing End", ""), IF($G491 = "", "Missing Required Attendees", ""), IF($T491 = "", "Missing Status", ""), IF(AND($D491 &lt;&gt; "", $E491 &lt;&gt; "", $D491 &gt;= $E491), "Start&gt;=End", ""), IF(OR($R491 = "", LEN($R491) &lt; 60, ISNUMBER(MATCH(TRIM($R491), StatusList, 0))), "Body overwritten/short", "")))))</f>
        <v/>
      </c>
    </row>
    <row r="492" spans="2:22" ht="12.75" customHeight="1">
      <c r="B492" s="25"/>
      <c r="C492" s="34"/>
      <c r="D492" s="38"/>
      <c r="E492" s="38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16" t="str">
        <f>IF($L492&lt;&gt;"","Purpose "&amp;CHAR(10)&amp;$L492&amp;CHAR(10)&amp;CHAR(10),"")&amp;
IF($M492&lt;&gt;"","Stops (in order) "&amp;CHAR(10)&amp;$M492&amp;CHAR(10)&amp;CHAR(10),"")&amp;
IF($N492&lt;&gt;"","To-Do (hard requirements) "&amp;CHAR(10)&amp;$N492&amp;CHAR(10)&amp;CHAR(10),"")&amp;
IF($O492&lt;&gt;"","Suggested Timeline "&amp;CHAR(10)&amp;$O492&amp;CHAR(10)&amp;CHAR(10),"")&amp;
IF($P492&lt;&gt;"","Guardrails "&amp;CHAR(10)&amp;$P492&amp;CHAR(10)&amp;CHAR(10),"")&amp;
IF($Q492&lt;&gt;"","Completion signals "&amp;CHAR(10)&amp;$Q492,"")</f>
        <v/>
      </c>
      <c r="S492" s="25"/>
      <c r="T492" s="25"/>
      <c r="U492" s="8"/>
      <c r="V492" s="8" t="str">
        <f>_xlfn.SINGLE(IF($B492 = "", "", IF(_xlfn.SINGLE(_xlfn.TEXTJOIN(" | ", TRUE, IF($B492 = "", "Missing Title", ""), IF($C492 = "", "Missing Date", ""), IF($D492 = "", "Missing Start", ""), IF($E492 = "", "Missing End", ""), IF($G492 = "", "Missing Required Attendees", ""), IF($T492 = "", "Missing Status", ""), IF(AND($D492 &lt;&gt; "", $E492 &lt;&gt; "", $D492 &gt;= $E492), "Start&gt;=End", ""), IF(OR($R492 = "", LEN($R492) &lt; 60, ISNUMBER(MATCH(TRIM($R492), StatusList, 0))), "Body overwritten/short", ""))) = "", "OK", _xlfn.TEXTJOIN(" | ", TRUE, IF($B492 = "", "Missing Title", ""), IF($C492 = "", "Missing Date", ""), IF($D492 = "", "Missing Start", ""), IF($E492 = "", "Missing End", ""), IF($G492 = "", "Missing Required Attendees", ""), IF($T492 = "", "Missing Status", ""), IF(AND($D492 &lt;&gt; "", $E492 &lt;&gt; "", $D492 &gt;= $E492), "Start&gt;=End", ""), IF(OR($R492 = "", LEN($R492) &lt; 60, ISNUMBER(MATCH(TRIM($R492), StatusList, 0))), "Body overwritten/short", "")))))</f>
        <v/>
      </c>
    </row>
    <row r="493" spans="2:22" ht="12.75" customHeight="1">
      <c r="B493" s="25"/>
      <c r="C493" s="34"/>
      <c r="D493" s="38"/>
      <c r="E493" s="38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16" t="str">
        <f>IF($L493&lt;&gt;"","Purpose "&amp;CHAR(10)&amp;$L493&amp;CHAR(10)&amp;CHAR(10),"")&amp;
IF($M493&lt;&gt;"","Stops (in order) "&amp;CHAR(10)&amp;$M493&amp;CHAR(10)&amp;CHAR(10),"")&amp;
IF($N493&lt;&gt;"","To-Do (hard requirements) "&amp;CHAR(10)&amp;$N493&amp;CHAR(10)&amp;CHAR(10),"")&amp;
IF($O493&lt;&gt;"","Suggested Timeline "&amp;CHAR(10)&amp;$O493&amp;CHAR(10)&amp;CHAR(10),"")&amp;
IF($P493&lt;&gt;"","Guardrails "&amp;CHAR(10)&amp;$P493&amp;CHAR(10)&amp;CHAR(10),"")&amp;
IF($Q493&lt;&gt;"","Completion signals "&amp;CHAR(10)&amp;$Q493,"")</f>
        <v/>
      </c>
      <c r="S493" s="25"/>
      <c r="T493" s="25"/>
      <c r="U493" s="8"/>
      <c r="V493" s="8" t="str">
        <f>_xlfn.SINGLE(IF($B493 = "", "", IF(_xlfn.SINGLE(_xlfn.TEXTJOIN(" | ", TRUE, IF($B493 = "", "Missing Title", ""), IF($C493 = "", "Missing Date", ""), IF($D493 = "", "Missing Start", ""), IF($E493 = "", "Missing End", ""), IF($G493 = "", "Missing Required Attendees", ""), IF($T493 = "", "Missing Status", ""), IF(AND($D493 &lt;&gt; "", $E493 &lt;&gt; "", $D493 &gt;= $E493), "Start&gt;=End", ""), IF(OR($R493 = "", LEN($R493) &lt; 60, ISNUMBER(MATCH(TRIM($R493), StatusList, 0))), "Body overwritten/short", ""))) = "", "OK", _xlfn.TEXTJOIN(" | ", TRUE, IF($B493 = "", "Missing Title", ""), IF($C493 = "", "Missing Date", ""), IF($D493 = "", "Missing Start", ""), IF($E493 = "", "Missing End", ""), IF($G493 = "", "Missing Required Attendees", ""), IF($T493 = "", "Missing Status", ""), IF(AND($D493 &lt;&gt; "", $E493 &lt;&gt; "", $D493 &gt;= $E493), "Start&gt;=End", ""), IF(OR($R493 = "", LEN($R493) &lt; 60, ISNUMBER(MATCH(TRIM($R493), StatusList, 0))), "Body overwritten/short", "")))))</f>
        <v/>
      </c>
    </row>
    <row r="494" spans="2:22" ht="12.75" customHeight="1">
      <c r="B494" s="25"/>
      <c r="C494" s="34"/>
      <c r="D494" s="38"/>
      <c r="E494" s="38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16" t="str">
        <f>IF($L494&lt;&gt;"","Purpose "&amp;CHAR(10)&amp;$L494&amp;CHAR(10)&amp;CHAR(10),"")&amp;
IF($M494&lt;&gt;"","Stops (in order) "&amp;CHAR(10)&amp;$M494&amp;CHAR(10)&amp;CHAR(10),"")&amp;
IF($N494&lt;&gt;"","To-Do (hard requirements) "&amp;CHAR(10)&amp;$N494&amp;CHAR(10)&amp;CHAR(10),"")&amp;
IF($O494&lt;&gt;"","Suggested Timeline "&amp;CHAR(10)&amp;$O494&amp;CHAR(10)&amp;CHAR(10),"")&amp;
IF($P494&lt;&gt;"","Guardrails "&amp;CHAR(10)&amp;$P494&amp;CHAR(10)&amp;CHAR(10),"")&amp;
IF($Q494&lt;&gt;"","Completion signals "&amp;CHAR(10)&amp;$Q494,"")</f>
        <v/>
      </c>
      <c r="S494" s="25"/>
      <c r="T494" s="25"/>
      <c r="U494" s="8"/>
      <c r="V494" s="8" t="str">
        <f>_xlfn.SINGLE(IF($B494 = "", "", IF(_xlfn.SINGLE(_xlfn.TEXTJOIN(" | ", TRUE, IF($B494 = "", "Missing Title", ""), IF($C494 = "", "Missing Date", ""), IF($D494 = "", "Missing Start", ""), IF($E494 = "", "Missing End", ""), IF($G494 = "", "Missing Required Attendees", ""), IF($T494 = "", "Missing Status", ""), IF(AND($D494 &lt;&gt; "", $E494 &lt;&gt; "", $D494 &gt;= $E494), "Start&gt;=End", ""), IF(OR($R494 = "", LEN($R494) &lt; 60, ISNUMBER(MATCH(TRIM($R494), StatusList, 0))), "Body overwritten/short", ""))) = "", "OK", _xlfn.TEXTJOIN(" | ", TRUE, IF($B494 = "", "Missing Title", ""), IF($C494 = "", "Missing Date", ""), IF($D494 = "", "Missing Start", ""), IF($E494 = "", "Missing End", ""), IF($G494 = "", "Missing Required Attendees", ""), IF($T494 = "", "Missing Status", ""), IF(AND($D494 &lt;&gt; "", $E494 &lt;&gt; "", $D494 &gt;= $E494), "Start&gt;=End", ""), IF(OR($R494 = "", LEN($R494) &lt; 60, ISNUMBER(MATCH(TRIM($R494), StatusList, 0))), "Body overwritten/short", "")))))</f>
        <v/>
      </c>
    </row>
    <row r="495" spans="2:22" ht="12.75" customHeight="1">
      <c r="B495" s="25"/>
      <c r="C495" s="34"/>
      <c r="D495" s="38"/>
      <c r="E495" s="38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16" t="str">
        <f>IF($L495&lt;&gt;"","Purpose "&amp;CHAR(10)&amp;$L495&amp;CHAR(10)&amp;CHAR(10),"")&amp;
IF($M495&lt;&gt;"","Stops (in order) "&amp;CHAR(10)&amp;$M495&amp;CHAR(10)&amp;CHAR(10),"")&amp;
IF($N495&lt;&gt;"","To-Do (hard requirements) "&amp;CHAR(10)&amp;$N495&amp;CHAR(10)&amp;CHAR(10),"")&amp;
IF($O495&lt;&gt;"","Suggested Timeline "&amp;CHAR(10)&amp;$O495&amp;CHAR(10)&amp;CHAR(10),"")&amp;
IF($P495&lt;&gt;"","Guardrails "&amp;CHAR(10)&amp;$P495&amp;CHAR(10)&amp;CHAR(10),"")&amp;
IF($Q495&lt;&gt;"","Completion signals "&amp;CHAR(10)&amp;$Q495,"")</f>
        <v/>
      </c>
      <c r="S495" s="25"/>
      <c r="T495" s="25"/>
      <c r="U495" s="8"/>
      <c r="V495" s="8" t="str">
        <f>_xlfn.SINGLE(IF($B495 = "", "", IF(_xlfn.SINGLE(_xlfn.TEXTJOIN(" | ", TRUE, IF($B495 = "", "Missing Title", ""), IF($C495 = "", "Missing Date", ""), IF($D495 = "", "Missing Start", ""), IF($E495 = "", "Missing End", ""), IF($G495 = "", "Missing Required Attendees", ""), IF($T495 = "", "Missing Status", ""), IF(AND($D495 &lt;&gt; "", $E495 &lt;&gt; "", $D495 &gt;= $E495), "Start&gt;=End", ""), IF(OR($R495 = "", LEN($R495) &lt; 60, ISNUMBER(MATCH(TRIM($R495), StatusList, 0))), "Body overwritten/short", ""))) = "", "OK", _xlfn.TEXTJOIN(" | ", TRUE, IF($B495 = "", "Missing Title", ""), IF($C495 = "", "Missing Date", ""), IF($D495 = "", "Missing Start", ""), IF($E495 = "", "Missing End", ""), IF($G495 = "", "Missing Required Attendees", ""), IF($T495 = "", "Missing Status", ""), IF(AND($D495 &lt;&gt; "", $E495 &lt;&gt; "", $D495 &gt;= $E495), "Start&gt;=End", ""), IF(OR($R495 = "", LEN($R495) &lt; 60, ISNUMBER(MATCH(TRIM($R495), StatusList, 0))), "Body overwritten/short", "")))))</f>
        <v/>
      </c>
    </row>
    <row r="496" spans="2:22" ht="12.75" customHeight="1">
      <c r="B496" s="25"/>
      <c r="C496" s="34"/>
      <c r="D496" s="38"/>
      <c r="E496" s="38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16" t="str">
        <f>IF($L496&lt;&gt;"","Purpose "&amp;CHAR(10)&amp;$L496&amp;CHAR(10)&amp;CHAR(10),"")&amp;
IF($M496&lt;&gt;"","Stops (in order) "&amp;CHAR(10)&amp;$M496&amp;CHAR(10)&amp;CHAR(10),"")&amp;
IF($N496&lt;&gt;"","To-Do (hard requirements) "&amp;CHAR(10)&amp;$N496&amp;CHAR(10)&amp;CHAR(10),"")&amp;
IF($O496&lt;&gt;"","Suggested Timeline "&amp;CHAR(10)&amp;$O496&amp;CHAR(10)&amp;CHAR(10),"")&amp;
IF($P496&lt;&gt;"","Guardrails "&amp;CHAR(10)&amp;$P496&amp;CHAR(10)&amp;CHAR(10),"")&amp;
IF($Q496&lt;&gt;"","Completion signals "&amp;CHAR(10)&amp;$Q496,"")</f>
        <v/>
      </c>
      <c r="S496" s="25"/>
      <c r="T496" s="25"/>
      <c r="U496" s="8"/>
      <c r="V496" s="8" t="str">
        <f>_xlfn.SINGLE(IF($B496 = "", "", IF(_xlfn.SINGLE(_xlfn.TEXTJOIN(" | ", TRUE, IF($B496 = "", "Missing Title", ""), IF($C496 = "", "Missing Date", ""), IF($D496 = "", "Missing Start", ""), IF($E496 = "", "Missing End", ""), IF($G496 = "", "Missing Required Attendees", ""), IF($T496 = "", "Missing Status", ""), IF(AND($D496 &lt;&gt; "", $E496 &lt;&gt; "", $D496 &gt;= $E496), "Start&gt;=End", ""), IF(OR($R496 = "", LEN($R496) &lt; 60, ISNUMBER(MATCH(TRIM($R496), StatusList, 0))), "Body overwritten/short", ""))) = "", "OK", _xlfn.TEXTJOIN(" | ", TRUE, IF($B496 = "", "Missing Title", ""), IF($C496 = "", "Missing Date", ""), IF($D496 = "", "Missing Start", ""), IF($E496 = "", "Missing End", ""), IF($G496 = "", "Missing Required Attendees", ""), IF($T496 = "", "Missing Status", ""), IF(AND($D496 &lt;&gt; "", $E496 &lt;&gt; "", $D496 &gt;= $E496), "Start&gt;=End", ""), IF(OR($R496 = "", LEN($R496) &lt; 60, ISNUMBER(MATCH(TRIM($R496), StatusList, 0))), "Body overwritten/short", "")))))</f>
        <v/>
      </c>
    </row>
    <row r="497" spans="2:22" ht="12.75" customHeight="1">
      <c r="B497" s="25"/>
      <c r="C497" s="34"/>
      <c r="D497" s="38"/>
      <c r="E497" s="38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16" t="str">
        <f>IF($L497&lt;&gt;"","Purpose "&amp;CHAR(10)&amp;$L497&amp;CHAR(10)&amp;CHAR(10),"")&amp;
IF($M497&lt;&gt;"","Stops (in order) "&amp;CHAR(10)&amp;$M497&amp;CHAR(10)&amp;CHAR(10),"")&amp;
IF($N497&lt;&gt;"","To-Do (hard requirements) "&amp;CHAR(10)&amp;$N497&amp;CHAR(10)&amp;CHAR(10),"")&amp;
IF($O497&lt;&gt;"","Suggested Timeline "&amp;CHAR(10)&amp;$O497&amp;CHAR(10)&amp;CHAR(10),"")&amp;
IF($P497&lt;&gt;"","Guardrails "&amp;CHAR(10)&amp;$P497&amp;CHAR(10)&amp;CHAR(10),"")&amp;
IF($Q497&lt;&gt;"","Completion signals "&amp;CHAR(10)&amp;$Q497,"")</f>
        <v/>
      </c>
      <c r="S497" s="25"/>
      <c r="T497" s="25"/>
      <c r="U497" s="8"/>
      <c r="V497" s="8" t="str">
        <f>_xlfn.SINGLE(IF($B497 = "", "", IF(_xlfn.SINGLE(_xlfn.TEXTJOIN(" | ", TRUE, IF($B497 = "", "Missing Title", ""), IF($C497 = "", "Missing Date", ""), IF($D497 = "", "Missing Start", ""), IF($E497 = "", "Missing End", ""), IF($G497 = "", "Missing Required Attendees", ""), IF($T497 = "", "Missing Status", ""), IF(AND($D497 &lt;&gt; "", $E497 &lt;&gt; "", $D497 &gt;= $E497), "Start&gt;=End", ""), IF(OR($R497 = "", LEN($R497) &lt; 60, ISNUMBER(MATCH(TRIM($R497), StatusList, 0))), "Body overwritten/short", ""))) = "", "OK", _xlfn.TEXTJOIN(" | ", TRUE, IF($B497 = "", "Missing Title", ""), IF($C497 = "", "Missing Date", ""), IF($D497 = "", "Missing Start", ""), IF($E497 = "", "Missing End", ""), IF($G497 = "", "Missing Required Attendees", ""), IF($T497 = "", "Missing Status", ""), IF(AND($D497 &lt;&gt; "", $E497 &lt;&gt; "", $D497 &gt;= $E497), "Start&gt;=End", ""), IF(OR($R497 = "", LEN($R497) &lt; 60, ISNUMBER(MATCH(TRIM($R497), StatusList, 0))), "Body overwritten/short", "")))))</f>
        <v/>
      </c>
    </row>
    <row r="498" spans="2:22" ht="12.75" customHeight="1">
      <c r="B498" s="25"/>
      <c r="C498" s="34"/>
      <c r="D498" s="38"/>
      <c r="E498" s="38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16" t="str">
        <f>IF($L498&lt;&gt;"","Purpose "&amp;CHAR(10)&amp;$L498&amp;CHAR(10)&amp;CHAR(10),"")&amp;
IF($M498&lt;&gt;"","Stops (in order) "&amp;CHAR(10)&amp;$M498&amp;CHAR(10)&amp;CHAR(10),"")&amp;
IF($N498&lt;&gt;"","To-Do (hard requirements) "&amp;CHAR(10)&amp;$N498&amp;CHAR(10)&amp;CHAR(10),"")&amp;
IF($O498&lt;&gt;"","Suggested Timeline "&amp;CHAR(10)&amp;$O498&amp;CHAR(10)&amp;CHAR(10),"")&amp;
IF($P498&lt;&gt;"","Guardrails "&amp;CHAR(10)&amp;$P498&amp;CHAR(10)&amp;CHAR(10),"")&amp;
IF($Q498&lt;&gt;"","Completion signals "&amp;CHAR(10)&amp;$Q498,"")</f>
        <v/>
      </c>
      <c r="S498" s="25"/>
      <c r="T498" s="25"/>
      <c r="U498" s="8"/>
      <c r="V498" s="8" t="str">
        <f>_xlfn.SINGLE(IF($B498 = "", "", IF(_xlfn.SINGLE(_xlfn.TEXTJOIN(" | ", TRUE, IF($B498 = "", "Missing Title", ""), IF($C498 = "", "Missing Date", ""), IF($D498 = "", "Missing Start", ""), IF($E498 = "", "Missing End", ""), IF($G498 = "", "Missing Required Attendees", ""), IF($T498 = "", "Missing Status", ""), IF(AND($D498 &lt;&gt; "", $E498 &lt;&gt; "", $D498 &gt;= $E498), "Start&gt;=End", ""), IF(OR($R498 = "", LEN($R498) &lt; 60, ISNUMBER(MATCH(TRIM($R498), StatusList, 0))), "Body overwritten/short", ""))) = "", "OK", _xlfn.TEXTJOIN(" | ", TRUE, IF($B498 = "", "Missing Title", ""), IF($C498 = "", "Missing Date", ""), IF($D498 = "", "Missing Start", ""), IF($E498 = "", "Missing End", ""), IF($G498 = "", "Missing Required Attendees", ""), IF($T498 = "", "Missing Status", ""), IF(AND($D498 &lt;&gt; "", $E498 &lt;&gt; "", $D498 &gt;= $E498), "Start&gt;=End", ""), IF(OR($R498 = "", LEN($R498) &lt; 60, ISNUMBER(MATCH(TRIM($R498), StatusList, 0))), "Body overwritten/short", "")))))</f>
        <v/>
      </c>
    </row>
    <row r="499" spans="2:22" ht="12.75" customHeight="1">
      <c r="B499" s="25"/>
      <c r="C499" s="34"/>
      <c r="D499" s="38"/>
      <c r="E499" s="38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16" t="str">
        <f>IF($L499&lt;&gt;"","Purpose "&amp;CHAR(10)&amp;$L499&amp;CHAR(10)&amp;CHAR(10),"")&amp;
IF($M499&lt;&gt;"","Stops (in order) "&amp;CHAR(10)&amp;$M499&amp;CHAR(10)&amp;CHAR(10),"")&amp;
IF($N499&lt;&gt;"","To-Do (hard requirements) "&amp;CHAR(10)&amp;$N499&amp;CHAR(10)&amp;CHAR(10),"")&amp;
IF($O499&lt;&gt;"","Suggested Timeline "&amp;CHAR(10)&amp;$O499&amp;CHAR(10)&amp;CHAR(10),"")&amp;
IF($P499&lt;&gt;"","Guardrails "&amp;CHAR(10)&amp;$P499&amp;CHAR(10)&amp;CHAR(10),"")&amp;
IF($Q499&lt;&gt;"","Completion signals "&amp;CHAR(10)&amp;$Q499,"")</f>
        <v/>
      </c>
      <c r="S499" s="25"/>
      <c r="T499" s="25"/>
      <c r="U499" s="8"/>
      <c r="V499" s="8" t="str">
        <f>_xlfn.SINGLE(IF($B499 = "", "", IF(_xlfn.SINGLE(_xlfn.TEXTJOIN(" | ", TRUE, IF($B499 = "", "Missing Title", ""), IF($C499 = "", "Missing Date", ""), IF($D499 = "", "Missing Start", ""), IF($E499 = "", "Missing End", ""), IF($G499 = "", "Missing Required Attendees", ""), IF($T499 = "", "Missing Status", ""), IF(AND($D499 &lt;&gt; "", $E499 &lt;&gt; "", $D499 &gt;= $E499), "Start&gt;=End", ""), IF(OR($R499 = "", LEN($R499) &lt; 60, ISNUMBER(MATCH(TRIM($R499), StatusList, 0))), "Body overwritten/short", ""))) = "", "OK", _xlfn.TEXTJOIN(" | ", TRUE, IF($B499 = "", "Missing Title", ""), IF($C499 = "", "Missing Date", ""), IF($D499 = "", "Missing Start", ""), IF($E499 = "", "Missing End", ""), IF($G499 = "", "Missing Required Attendees", ""), IF($T499 = "", "Missing Status", ""), IF(AND($D499 &lt;&gt; "", $E499 &lt;&gt; "", $D499 &gt;= $E499), "Start&gt;=End", ""), IF(OR($R499 = "", LEN($R499) &lt; 60, ISNUMBER(MATCH(TRIM($R499), StatusList, 0))), "Body overwritten/short", "")))))</f>
        <v/>
      </c>
    </row>
    <row r="500" spans="2:22" ht="12.75" customHeight="1">
      <c r="B500" s="25"/>
      <c r="C500" s="34"/>
      <c r="D500" s="38"/>
      <c r="E500" s="38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16" t="str">
        <f>IF($L500&lt;&gt;"","Purpose "&amp;CHAR(10)&amp;$L500&amp;CHAR(10)&amp;CHAR(10),"")&amp;
IF($M500&lt;&gt;"","Stops (in order) "&amp;CHAR(10)&amp;$M500&amp;CHAR(10)&amp;CHAR(10),"")&amp;
IF($N500&lt;&gt;"","To-Do (hard requirements) "&amp;CHAR(10)&amp;$N500&amp;CHAR(10)&amp;CHAR(10),"")&amp;
IF($O500&lt;&gt;"","Suggested Timeline "&amp;CHAR(10)&amp;$O500&amp;CHAR(10)&amp;CHAR(10),"")&amp;
IF($P500&lt;&gt;"","Guardrails "&amp;CHAR(10)&amp;$P500&amp;CHAR(10)&amp;CHAR(10),"")&amp;
IF($Q500&lt;&gt;"","Completion signals "&amp;CHAR(10)&amp;$Q500,"")</f>
        <v/>
      </c>
      <c r="S500" s="25"/>
      <c r="T500" s="25"/>
      <c r="U500" s="8"/>
      <c r="V500" s="8" t="str">
        <f>_xlfn.SINGLE(IF($B500 = "", "", IF(_xlfn.SINGLE(_xlfn.TEXTJOIN(" | ", TRUE, IF($B500 = "", "Missing Title", ""), IF($C500 = "", "Missing Date", ""), IF($D500 = "", "Missing Start", ""), IF($E500 = "", "Missing End", ""), IF($G500 = "", "Missing Required Attendees", ""), IF($T500 = "", "Missing Status", ""), IF(AND($D500 &lt;&gt; "", $E500 &lt;&gt; "", $D500 &gt;= $E500), "Start&gt;=End", ""), IF(OR($R500 = "", LEN($R500) &lt; 60, ISNUMBER(MATCH(TRIM($R500), StatusList, 0))), "Body overwritten/short", ""))) = "", "OK", _xlfn.TEXTJOIN(" | ", TRUE, IF($B500 = "", "Missing Title", ""), IF($C500 = "", "Missing Date", ""), IF($D500 = "", "Missing Start", ""), IF($E500 = "", "Missing End", ""), IF($G500 = "", "Missing Required Attendees", ""), IF($T500 = "", "Missing Status", ""), IF(AND($D500 &lt;&gt; "", $E500 &lt;&gt; "", $D500 &gt;= $E500), "Start&gt;=End", ""), IF(OR($R500 = "", LEN($R500) &lt; 60, ISNUMBER(MATCH(TRIM($R500), StatusList, 0))), "Body overwritten/short", "")))))</f>
        <v/>
      </c>
    </row>
    <row r="501" spans="2:22" ht="15" customHeight="1">
      <c r="B501" s="8"/>
      <c r="C501" s="42"/>
      <c r="D501" s="43"/>
      <c r="E501" s="43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14" t="s">
        <v>265</v>
      </c>
      <c r="S501" s="8"/>
      <c r="T501" s="8"/>
      <c r="U501" s="8"/>
      <c r="V501" s="8"/>
    </row>
  </sheetData>
  <conditionalFormatting sqref="R2:R500">
    <cfRule type="expression" dxfId="3" priority="1">
      <formula>OR($R2="",$R2="Planned",$R2="In Progress",$R2="Blocked",$R2="Done")</formula>
    </cfRule>
    <cfRule type="expression" dxfId="2" priority="4">
      <formula>OR($R2="",LEN($R2)&lt;60,ISNUMBER(MATCH(TRIM($R2),StatusList,0)))</formula>
    </cfRule>
  </conditionalFormatting>
  <conditionalFormatting sqref="A2:V500">
    <cfRule type="expression" dxfId="1" priority="2">
      <formula>AND($B2&lt;&gt;"",$V2&lt;&gt;"OK")</formula>
    </cfRule>
  </conditionalFormatting>
  <conditionalFormatting sqref="V2:V500">
    <cfRule type="expression" dxfId="0" priority="3">
      <formula>AND($B2&lt;&gt;"",$V2&lt;&gt;"OK")</formula>
    </cfRule>
  </conditionalFormatting>
  <dataValidations count="6">
    <dataValidation type="date" allowBlank="1" showInputMessage="1" showErrorMessage="1" sqref="C2:C9 C12:C1048576" xr:uid="{00000000-0002-0000-0200-000000000000}">
      <formula1>1</formula1>
      <formula2>2958465</formula2>
    </dataValidation>
    <dataValidation type="list" allowBlank="1" sqref="J2:J500" xr:uid="{00000000-0002-0000-0200-000001000000}">
      <formula1>ShowAsList</formula1>
    </dataValidation>
    <dataValidation type="list" allowBlank="1" sqref="K2:K500" xr:uid="{00000000-0002-0000-0200-000002000000}">
      <formula1>ReminderMinutesList</formula1>
    </dataValidation>
    <dataValidation type="list" allowBlank="1" sqref="T2:T500" xr:uid="{00000000-0002-0000-0200-000003000000}">
      <formula1>StatusList</formula1>
    </dataValidation>
    <dataValidation type="list" allowBlank="1" sqref="F2:F500" xr:uid="{00000000-0002-0000-0200-000004000000}">
      <formula1>TimeZoneList</formula1>
    </dataValidation>
    <dataValidation type="custom" allowBlank="1" showInputMessage="1" showErrorMessage="1" sqref="A1:A1048576 R1:R1048576 V2:V1048576" xr:uid="{00000000-0002-0000-0200-000005000000}">
      <formula1>FALSE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1:G5"/>
  <sheetViews>
    <sheetView workbookViewId="0">
      <selection activeCell="F9" sqref="F9"/>
    </sheetView>
  </sheetViews>
  <sheetFormatPr defaultRowHeight="12.75"/>
  <cols>
    <col min="1" max="1" width="11.140625" customWidth="1"/>
    <col min="2" max="7" width="23.42578125" customWidth="1"/>
  </cols>
  <sheetData>
    <row r="1" spans="1:7">
      <c r="A1" s="16" t="s">
        <v>266</v>
      </c>
      <c r="B1" s="16" t="s">
        <v>267</v>
      </c>
      <c r="C1" s="16" t="s">
        <v>268</v>
      </c>
      <c r="D1" s="16" t="s">
        <v>46</v>
      </c>
      <c r="E1" s="16" t="s">
        <v>12</v>
      </c>
      <c r="F1" s="16" t="s">
        <v>269</v>
      </c>
      <c r="G1" s="16" t="s">
        <v>270</v>
      </c>
    </row>
    <row r="2" spans="1:7">
      <c r="A2" s="8">
        <v>1</v>
      </c>
      <c r="B2" s="16" t="s">
        <v>271</v>
      </c>
      <c r="C2" s="16" t="s">
        <v>272</v>
      </c>
      <c r="D2" s="8" t="s">
        <v>273</v>
      </c>
      <c r="E2" s="16" t="s">
        <v>274</v>
      </c>
      <c r="F2" s="8" t="s">
        <v>275</v>
      </c>
      <c r="G2" s="8" t="s">
        <v>276</v>
      </c>
    </row>
    <row r="3" spans="1:7">
      <c r="A3" s="8">
        <v>2</v>
      </c>
      <c r="B3" s="16" t="s">
        <v>277</v>
      </c>
      <c r="C3" s="16" t="s">
        <v>278</v>
      </c>
      <c r="D3" s="8" t="s">
        <v>279</v>
      </c>
      <c r="E3" s="16" t="s">
        <v>280</v>
      </c>
      <c r="F3" s="8" t="s">
        <v>281</v>
      </c>
      <c r="G3" s="8" t="s">
        <v>282</v>
      </c>
    </row>
    <row r="4" spans="1:7">
      <c r="A4" s="8">
        <v>3</v>
      </c>
      <c r="B4" s="16" t="s">
        <v>283</v>
      </c>
      <c r="C4" s="16" t="s">
        <v>284</v>
      </c>
      <c r="D4" s="8" t="s">
        <v>285</v>
      </c>
      <c r="E4" s="16" t="s">
        <v>280</v>
      </c>
      <c r="F4" s="8" t="s">
        <v>286</v>
      </c>
      <c r="G4" s="8" t="s">
        <v>287</v>
      </c>
    </row>
    <row r="5" spans="1:7">
      <c r="A5" s="8">
        <v>4</v>
      </c>
      <c r="B5" s="16" t="s">
        <v>288</v>
      </c>
      <c r="C5" s="16" t="s">
        <v>289</v>
      </c>
      <c r="D5" s="8" t="s">
        <v>290</v>
      </c>
      <c r="E5" s="16" t="s">
        <v>280</v>
      </c>
      <c r="F5" s="8" t="s">
        <v>291</v>
      </c>
      <c r="G5" s="8" t="s">
        <v>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>
      <selection activeCell="A8" sqref="A8"/>
    </sheetView>
  </sheetViews>
  <sheetFormatPr defaultRowHeight="12.75"/>
  <sheetData>
    <row r="1" spans="1:7" ht="15" customHeight="1">
      <c r="A1" s="2" t="s">
        <v>4</v>
      </c>
      <c r="B1" s="45" t="s">
        <v>93</v>
      </c>
      <c r="C1" s="54"/>
      <c r="D1" s="54"/>
      <c r="E1" s="54"/>
      <c r="F1" s="54"/>
      <c r="G1" s="55"/>
    </row>
    <row r="2" spans="1:7">
      <c r="A2" s="2" t="s">
        <v>8</v>
      </c>
      <c r="B2" s="44" t="str">
        <f>IFERROR(VLOOKUP($L$4,'Invite Builder'!$A:$U,2,FALSE),"")</f>
        <v/>
      </c>
      <c r="C2" s="54"/>
      <c r="D2" s="54"/>
      <c r="E2" s="54"/>
      <c r="F2" s="54"/>
      <c r="G2" s="55"/>
    </row>
    <row r="3" spans="1:7">
      <c r="A3" s="2" t="s">
        <v>5</v>
      </c>
      <c r="B3" s="44" t="str">
        <f>IFERROR(VLOOKUP($L$4,'Invite Builder'!$A:$U,3,FALSE),"")</f>
        <v/>
      </c>
      <c r="C3" s="54"/>
      <c r="D3" s="54"/>
      <c r="E3" s="54"/>
      <c r="F3" s="54"/>
      <c r="G3" s="55"/>
    </row>
    <row r="4" spans="1:7">
      <c r="A4" s="2" t="s">
        <v>14</v>
      </c>
      <c r="B4" s="44" t="str">
        <f>IFERROR(VLOOKUP($L$4,'Invite Builder'!$A:$U,4,FALSE),"")&amp;" – "&amp;IFERROR(VLOOKUP($L$4,'Invite Builder'!$A:$U,5,FALSE),"")&amp;" "&amp;IFERROR(VLOOKUP($L$4,'Invite Builder'!$A:$U,6,FALSE),"")</f>
        <v xml:space="preserve"> –  </v>
      </c>
      <c r="C4" s="54"/>
      <c r="D4" s="54"/>
      <c r="E4" s="54"/>
      <c r="F4" s="54"/>
      <c r="G4" s="55"/>
    </row>
    <row r="5" spans="1:7">
      <c r="A5" s="2" t="s">
        <v>9</v>
      </c>
      <c r="B5" s="44" t="str">
        <f>IFERROR(VLOOKUP($L$4,'Invite Builder'!$A:$U,9,FALSE),"")</f>
        <v/>
      </c>
      <c r="C5" s="54"/>
      <c r="D5" s="54"/>
      <c r="E5" s="54"/>
      <c r="F5" s="54"/>
      <c r="G5" s="55"/>
    </row>
    <row r="6" spans="1:7">
      <c r="A6" s="8"/>
      <c r="B6" s="8"/>
      <c r="C6" s="8"/>
      <c r="D6" s="8"/>
      <c r="E6" s="8"/>
      <c r="F6" s="8"/>
      <c r="G6" s="8"/>
    </row>
    <row r="7" spans="1:7" ht="48" customHeight="1">
      <c r="A7" s="2" t="s">
        <v>16</v>
      </c>
      <c r="B7" s="47" t="s">
        <v>17</v>
      </c>
      <c r="C7" s="54"/>
      <c r="D7" s="54"/>
      <c r="E7" s="54"/>
      <c r="F7" s="54"/>
      <c r="G7" s="55"/>
    </row>
    <row r="8" spans="1:7">
      <c r="A8" s="50" t="str">
        <f>IFERROR(VLOOKUP($L$4,'Invite Builder'!$A:$U,18,FALSE),"")</f>
        <v/>
      </c>
      <c r="B8" s="56"/>
      <c r="C8" s="56"/>
      <c r="D8" s="56"/>
      <c r="E8" s="56"/>
      <c r="F8" s="56"/>
      <c r="G8" s="57"/>
    </row>
    <row r="9" spans="1:7">
      <c r="A9" s="58"/>
      <c r="B9" s="53"/>
      <c r="C9" s="53"/>
      <c r="D9" s="53"/>
      <c r="E9" s="53"/>
      <c r="F9" s="53"/>
      <c r="G9" s="59"/>
    </row>
    <row r="10" spans="1:7">
      <c r="A10" s="58"/>
      <c r="B10" s="53"/>
      <c r="C10" s="53"/>
      <c r="D10" s="53"/>
      <c r="E10" s="53"/>
      <c r="F10" s="53"/>
      <c r="G10" s="59"/>
    </row>
    <row r="11" spans="1:7">
      <c r="A11" s="58"/>
      <c r="B11" s="53"/>
      <c r="C11" s="53"/>
      <c r="D11" s="53"/>
      <c r="E11" s="53"/>
      <c r="F11" s="53"/>
      <c r="G11" s="59"/>
    </row>
    <row r="12" spans="1:7">
      <c r="A12" s="58"/>
      <c r="B12" s="53"/>
      <c r="C12" s="53"/>
      <c r="D12" s="53"/>
      <c r="E12" s="53"/>
      <c r="F12" s="53"/>
      <c r="G12" s="59"/>
    </row>
    <row r="13" spans="1:7">
      <c r="A13" s="58"/>
      <c r="B13" s="53"/>
      <c r="C13" s="53"/>
      <c r="D13" s="53"/>
      <c r="E13" s="53"/>
      <c r="F13" s="53"/>
      <c r="G13" s="59"/>
    </row>
    <row r="14" spans="1:7">
      <c r="A14" s="58"/>
      <c r="B14" s="53"/>
      <c r="C14" s="53"/>
      <c r="D14" s="53"/>
      <c r="E14" s="53"/>
      <c r="F14" s="53"/>
      <c r="G14" s="59"/>
    </row>
    <row r="15" spans="1:7">
      <c r="A15" s="58"/>
      <c r="B15" s="53"/>
      <c r="C15" s="53"/>
      <c r="D15" s="53"/>
      <c r="E15" s="53"/>
      <c r="F15" s="53"/>
      <c r="G15" s="59"/>
    </row>
    <row r="16" spans="1:7">
      <c r="A16" s="58"/>
      <c r="B16" s="53"/>
      <c r="C16" s="53"/>
      <c r="D16" s="53"/>
      <c r="E16" s="53"/>
      <c r="F16" s="53"/>
      <c r="G16" s="59"/>
    </row>
    <row r="17" spans="1:7">
      <c r="A17" s="58"/>
      <c r="B17" s="53"/>
      <c r="C17" s="53"/>
      <c r="D17" s="53"/>
      <c r="E17" s="53"/>
      <c r="F17" s="53"/>
      <c r="G17" s="59"/>
    </row>
    <row r="18" spans="1:7">
      <c r="A18" s="58"/>
      <c r="B18" s="53"/>
      <c r="C18" s="53"/>
      <c r="D18" s="53"/>
      <c r="E18" s="53"/>
      <c r="F18" s="53"/>
      <c r="G18" s="59"/>
    </row>
    <row r="19" spans="1:7">
      <c r="A19" s="58"/>
      <c r="B19" s="53"/>
      <c r="C19" s="53"/>
      <c r="D19" s="53"/>
      <c r="E19" s="53"/>
      <c r="F19" s="53"/>
      <c r="G19" s="59"/>
    </row>
    <row r="20" spans="1:7">
      <c r="A20" s="58"/>
      <c r="B20" s="53"/>
      <c r="C20" s="53"/>
      <c r="D20" s="53"/>
      <c r="E20" s="53"/>
      <c r="F20" s="53"/>
      <c r="G20" s="59"/>
    </row>
    <row r="21" spans="1:7">
      <c r="A21" s="58"/>
      <c r="B21" s="53"/>
      <c r="C21" s="53"/>
      <c r="D21" s="53"/>
      <c r="E21" s="53"/>
      <c r="F21" s="53"/>
      <c r="G21" s="59"/>
    </row>
    <row r="22" spans="1:7">
      <c r="A22" s="58"/>
      <c r="B22" s="53"/>
      <c r="C22" s="53"/>
      <c r="D22" s="53"/>
      <c r="E22" s="53"/>
      <c r="F22" s="53"/>
      <c r="G22" s="59"/>
    </row>
    <row r="23" spans="1:7">
      <c r="A23" s="58"/>
      <c r="B23" s="53"/>
      <c r="C23" s="53"/>
      <c r="D23" s="53"/>
      <c r="E23" s="53"/>
      <c r="F23" s="53"/>
      <c r="G23" s="59"/>
    </row>
    <row r="24" spans="1:7">
      <c r="A24" s="58"/>
      <c r="B24" s="53"/>
      <c r="C24" s="53"/>
      <c r="D24" s="53"/>
      <c r="E24" s="53"/>
      <c r="F24" s="53"/>
      <c r="G24" s="59"/>
    </row>
    <row r="25" spans="1:7">
      <c r="A25" s="60"/>
      <c r="B25" s="61"/>
      <c r="C25" s="61"/>
      <c r="D25" s="61"/>
      <c r="E25" s="61"/>
      <c r="F25" s="61"/>
      <c r="G25" s="62"/>
    </row>
  </sheetData>
  <mergeCells count="7">
    <mergeCell ref="B3:G3"/>
    <mergeCell ref="B2:G2"/>
    <mergeCell ref="A8:G25"/>
    <mergeCell ref="B5:G5"/>
    <mergeCell ref="B1:G1"/>
    <mergeCell ref="B4:G4"/>
    <mergeCell ref="B7:G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zoomScaleNormal="100" zoomScaleSheetLayoutView="100" workbookViewId="0"/>
  </sheetViews>
  <sheetFormatPr defaultColWidth="12.5703125" defaultRowHeight="12.75"/>
  <cols>
    <col min="1" max="1" width="30" customWidth="1"/>
    <col min="2" max="2" width="95" customWidth="1"/>
  </cols>
  <sheetData>
    <row r="1" spans="1:2">
      <c r="A1" s="17" t="s">
        <v>293</v>
      </c>
      <c r="B1" s="17" t="s">
        <v>294</v>
      </c>
    </row>
    <row r="2" spans="1:2">
      <c r="A2" s="18" t="s">
        <v>8</v>
      </c>
      <c r="B2" s="19" t="s">
        <v>82</v>
      </c>
    </row>
    <row r="3" spans="1:2" ht="25.5" customHeight="1">
      <c r="A3" s="18" t="s">
        <v>295</v>
      </c>
      <c r="B3" s="19" t="s">
        <v>83</v>
      </c>
    </row>
    <row r="4" spans="1:2">
      <c r="A4" s="18" t="s">
        <v>296</v>
      </c>
      <c r="B4" s="19" t="s">
        <v>84</v>
      </c>
    </row>
    <row r="5" spans="1:2">
      <c r="A5" s="18" t="s">
        <v>5</v>
      </c>
      <c r="B5" s="20">
        <v>46034</v>
      </c>
    </row>
    <row r="6" spans="1:2">
      <c r="A6" s="18" t="s">
        <v>297</v>
      </c>
      <c r="B6" s="19" t="s">
        <v>298</v>
      </c>
    </row>
    <row r="7" spans="1:2">
      <c r="A7" s="18" t="s">
        <v>299</v>
      </c>
      <c r="B7" s="19" t="s">
        <v>62</v>
      </c>
    </row>
    <row r="8" spans="1:2">
      <c r="A8" s="18" t="s">
        <v>9</v>
      </c>
      <c r="B8" s="19" t="s">
        <v>85</v>
      </c>
    </row>
    <row r="9" spans="1:2">
      <c r="A9" s="18" t="s">
        <v>300</v>
      </c>
      <c r="B9" s="19" t="s">
        <v>301</v>
      </c>
    </row>
    <row r="10" spans="1:2" ht="260.10000000000002" customHeight="1">
      <c r="A10" s="12" t="s">
        <v>302</v>
      </c>
      <c r="B10" s="10" t="s">
        <v>92</v>
      </c>
    </row>
    <row r="11" spans="1:2" ht="80.099999999999994" customHeight="1">
      <c r="A11" s="12" t="s">
        <v>303</v>
      </c>
      <c r="B11" s="10" t="s">
        <v>304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zoomScaleNormal="100" zoomScaleSheetLayoutView="100" workbookViewId="0"/>
  </sheetViews>
  <sheetFormatPr defaultColWidth="12.5703125" defaultRowHeight="12.75"/>
  <cols>
    <col min="1" max="1" width="30" customWidth="1"/>
    <col min="2" max="2" width="95" customWidth="1"/>
  </cols>
  <sheetData>
    <row r="1" spans="1:2">
      <c r="A1" s="17" t="s">
        <v>293</v>
      </c>
      <c r="B1" s="17" t="s">
        <v>294</v>
      </c>
    </row>
    <row r="2" spans="1:2">
      <c r="A2" s="18" t="s">
        <v>8</v>
      </c>
      <c r="B2" s="19" t="s">
        <v>71</v>
      </c>
    </row>
    <row r="3" spans="1:2">
      <c r="A3" s="18" t="s">
        <v>295</v>
      </c>
      <c r="B3" s="19" t="s">
        <v>72</v>
      </c>
    </row>
    <row r="4" spans="1:2">
      <c r="A4" s="18" t="s">
        <v>296</v>
      </c>
      <c r="B4" s="19" t="s">
        <v>73</v>
      </c>
    </row>
    <row r="5" spans="1:2">
      <c r="A5" s="18" t="s">
        <v>5</v>
      </c>
      <c r="B5" s="20">
        <v>46030</v>
      </c>
    </row>
    <row r="6" spans="1:2">
      <c r="A6" s="18" t="s">
        <v>297</v>
      </c>
      <c r="B6" s="19" t="s">
        <v>305</v>
      </c>
    </row>
    <row r="7" spans="1:2">
      <c r="A7" s="18" t="s">
        <v>299</v>
      </c>
      <c r="B7" s="19" t="s">
        <v>62</v>
      </c>
    </row>
    <row r="8" spans="1:2">
      <c r="A8" s="18" t="s">
        <v>9</v>
      </c>
      <c r="B8" s="19" t="s">
        <v>306</v>
      </c>
    </row>
    <row r="9" spans="1:2">
      <c r="A9" s="18" t="s">
        <v>300</v>
      </c>
      <c r="B9" s="19" t="s">
        <v>301</v>
      </c>
    </row>
    <row r="10" spans="1:2" ht="260.10000000000002" customHeight="1">
      <c r="A10" s="12" t="s">
        <v>302</v>
      </c>
      <c r="B10" s="10" t="s">
        <v>307</v>
      </c>
    </row>
    <row r="11" spans="1:2" ht="80.099999999999994" customHeight="1">
      <c r="A11" s="12" t="s">
        <v>303</v>
      </c>
      <c r="B11" s="10" t="s">
        <v>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zoomScaleNormal="100" zoomScaleSheetLayoutView="100" workbookViewId="0"/>
  </sheetViews>
  <sheetFormatPr defaultColWidth="12.5703125" defaultRowHeight="12.75"/>
  <cols>
    <col min="1" max="1" width="30" customWidth="1"/>
    <col min="2" max="2" width="95" customWidth="1"/>
  </cols>
  <sheetData>
    <row r="1" spans="1:2">
      <c r="A1" s="17" t="s">
        <v>293</v>
      </c>
      <c r="B1" s="17" t="s">
        <v>294</v>
      </c>
    </row>
    <row r="2" spans="1:2">
      <c r="A2" s="18" t="s">
        <v>8</v>
      </c>
      <c r="B2" s="19" t="s">
        <v>309</v>
      </c>
    </row>
    <row r="3" spans="1:2">
      <c r="A3" s="18" t="s">
        <v>295</v>
      </c>
      <c r="B3" s="19" t="s">
        <v>59</v>
      </c>
    </row>
    <row r="4" spans="1:2">
      <c r="A4" s="18" t="s">
        <v>296</v>
      </c>
      <c r="B4" s="19" t="s">
        <v>310</v>
      </c>
    </row>
    <row r="5" spans="1:2">
      <c r="A5" s="18" t="s">
        <v>5</v>
      </c>
      <c r="B5" s="20">
        <v>46030</v>
      </c>
    </row>
    <row r="6" spans="1:2">
      <c r="A6" s="18" t="s">
        <v>297</v>
      </c>
      <c r="B6" s="19" t="s">
        <v>305</v>
      </c>
    </row>
    <row r="7" spans="1:2">
      <c r="A7" s="18" t="s">
        <v>299</v>
      </c>
      <c r="B7" s="19" t="s">
        <v>62</v>
      </c>
    </row>
    <row r="8" spans="1:2">
      <c r="A8" s="18" t="s">
        <v>9</v>
      </c>
      <c r="B8" s="19" t="s">
        <v>311</v>
      </c>
    </row>
    <row r="9" spans="1:2">
      <c r="A9" s="18" t="s">
        <v>300</v>
      </c>
      <c r="B9" s="19" t="s">
        <v>301</v>
      </c>
    </row>
    <row r="10" spans="1:2" ht="260.10000000000002" customHeight="1">
      <c r="A10" s="12" t="s">
        <v>302</v>
      </c>
      <c r="B10" s="10" t="s">
        <v>312</v>
      </c>
    </row>
    <row r="11" spans="1:2" ht="80.099999999999994" customHeight="1">
      <c r="A11" s="12" t="s">
        <v>303</v>
      </c>
      <c r="B11" s="10" t="s">
        <v>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9"/>
  <sheetViews>
    <sheetView tabSelected="1" zoomScaleNormal="100" zoomScaleSheetLayoutView="100" workbookViewId="0">
      <selection activeCell="A12" sqref="A12:XFD29"/>
    </sheetView>
  </sheetViews>
  <sheetFormatPr defaultColWidth="12.5703125" defaultRowHeight="12.75"/>
  <cols>
    <col min="1" max="1" width="30" customWidth="1"/>
    <col min="2" max="2" width="95" customWidth="1"/>
  </cols>
  <sheetData>
    <row r="1" spans="1:2" ht="15.75" customHeight="1">
      <c r="A1" s="17" t="s">
        <v>293</v>
      </c>
      <c r="B1" s="17" t="s">
        <v>294</v>
      </c>
    </row>
    <row r="2" spans="1:2">
      <c r="A2" s="18" t="s">
        <v>8</v>
      </c>
      <c r="B2" s="19" t="s">
        <v>314</v>
      </c>
    </row>
    <row r="3" spans="1:2">
      <c r="A3" s="18" t="s">
        <v>295</v>
      </c>
      <c r="B3" s="19" t="s">
        <v>315</v>
      </c>
    </row>
    <row r="4" spans="1:2">
      <c r="A4" s="18" t="s">
        <v>296</v>
      </c>
      <c r="B4" s="19" t="s">
        <v>316</v>
      </c>
    </row>
    <row r="5" spans="1:2">
      <c r="A5" s="18" t="s">
        <v>5</v>
      </c>
      <c r="B5" s="20">
        <v>46030</v>
      </c>
    </row>
    <row r="6" spans="1:2">
      <c r="A6" s="18" t="s">
        <v>297</v>
      </c>
      <c r="B6" s="19" t="s">
        <v>317</v>
      </c>
    </row>
    <row r="7" spans="1:2">
      <c r="A7" s="18" t="s">
        <v>299</v>
      </c>
      <c r="B7" s="19" t="s">
        <v>62</v>
      </c>
    </row>
    <row r="8" spans="1:2">
      <c r="A8" s="18" t="s">
        <v>9</v>
      </c>
      <c r="B8" s="19" t="s">
        <v>318</v>
      </c>
    </row>
    <row r="9" spans="1:2">
      <c r="A9" s="18" t="s">
        <v>300</v>
      </c>
      <c r="B9" s="19" t="s">
        <v>301</v>
      </c>
    </row>
    <row r="10" spans="1:2" ht="260.10000000000002" customHeight="1">
      <c r="A10" s="12" t="s">
        <v>302</v>
      </c>
      <c r="B10" s="10" t="s">
        <v>319</v>
      </c>
    </row>
    <row r="11" spans="1:2" ht="80.099999999999994" customHeight="1">
      <c r="A11" s="12" t="s">
        <v>12</v>
      </c>
      <c r="B11" s="10" t="s">
        <v>69</v>
      </c>
    </row>
    <row r="12" spans="1:2" ht="15.75" customHeight="1">
      <c r="A12" s="8"/>
      <c r="B12" s="8"/>
    </row>
    <row r="13" spans="1:2" ht="15.75" customHeight="1">
      <c r="A13" s="8"/>
      <c r="B13" s="8"/>
    </row>
    <row r="14" spans="1:2" ht="15.75" customHeight="1">
      <c r="A14" s="8"/>
      <c r="B14" s="8"/>
    </row>
    <row r="15" spans="1:2" ht="15.75" customHeight="1">
      <c r="A15" s="8"/>
      <c r="B15" s="8"/>
    </row>
    <row r="16" spans="1:2" ht="15.75" customHeight="1">
      <c r="A16" s="8"/>
      <c r="B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zoomScaleNormal="100" zoomScaleSheetLayoutView="100" workbookViewId="0"/>
  </sheetViews>
  <sheetFormatPr defaultRowHeight="12.75"/>
  <cols>
    <col min="1" max="3" width="18" customWidth="1"/>
  </cols>
  <sheetData>
    <row r="1" spans="1:4">
      <c r="A1" s="8" t="s">
        <v>320</v>
      </c>
      <c r="B1" s="8" t="s">
        <v>12</v>
      </c>
      <c r="C1" s="8" t="s">
        <v>321</v>
      </c>
      <c r="D1" s="8" t="s">
        <v>322</v>
      </c>
    </row>
    <row r="2" spans="1:4">
      <c r="A2" s="8" t="s">
        <v>62</v>
      </c>
      <c r="B2" s="8" t="s">
        <v>69</v>
      </c>
      <c r="C2" s="8">
        <v>5</v>
      </c>
      <c r="D2" s="8" t="s">
        <v>58</v>
      </c>
    </row>
    <row r="3" spans="1:4">
      <c r="A3" s="8" t="s">
        <v>323</v>
      </c>
      <c r="B3" s="8" t="s">
        <v>324</v>
      </c>
      <c r="C3" s="8">
        <v>10</v>
      </c>
      <c r="D3" s="8" t="s">
        <v>325</v>
      </c>
    </row>
    <row r="4" spans="1:4">
      <c r="A4" s="8" t="s">
        <v>326</v>
      </c>
      <c r="B4" s="8" t="s">
        <v>24</v>
      </c>
      <c r="C4" s="8">
        <v>15</v>
      </c>
      <c r="D4" s="8"/>
    </row>
    <row r="5" spans="1:4">
      <c r="A5" s="8" t="s">
        <v>327</v>
      </c>
      <c r="B5" s="8" t="s">
        <v>22</v>
      </c>
      <c r="C5" s="8">
        <v>30</v>
      </c>
      <c r="D5" s="8"/>
    </row>
    <row r="6" spans="1:4">
      <c r="A6" s="8"/>
      <c r="B6" s="8"/>
      <c r="C6" s="8">
        <v>60</v>
      </c>
      <c r="D6" s="8"/>
    </row>
    <row r="7" spans="1:4">
      <c r="A7" s="8"/>
      <c r="B7" s="8"/>
      <c r="C7" s="8">
        <v>120</v>
      </c>
      <c r="D7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zoomScaleNormal="100" zoomScaleSheetLayoutView="100" workbookViewId="0">
      <selection activeCell="D1" sqref="D1"/>
    </sheetView>
  </sheetViews>
  <sheetFormatPr defaultRowHeight="12.75"/>
  <cols>
    <col min="1" max="1" width="18" customWidth="1"/>
    <col min="2" max="2" width="22" customWidth="1"/>
    <col min="3" max="3" width="95" customWidth="1"/>
    <col min="4" max="4" width="20.85546875" style="5" customWidth="1"/>
  </cols>
  <sheetData>
    <row r="1" spans="1:4">
      <c r="A1" s="9" t="s">
        <v>328</v>
      </c>
      <c r="B1" s="9" t="s">
        <v>329</v>
      </c>
      <c r="C1" s="9" t="s">
        <v>330</v>
      </c>
      <c r="D1" s="9" t="s">
        <v>331</v>
      </c>
    </row>
    <row r="2" spans="1:4" ht="39.950000000000003" customHeight="1">
      <c r="A2" s="12" t="s">
        <v>332</v>
      </c>
      <c r="B2" s="12" t="s">
        <v>333</v>
      </c>
      <c r="C2" s="10" t="s">
        <v>334</v>
      </c>
      <c r="D2" s="21" t="s">
        <v>335</v>
      </c>
    </row>
    <row r="3" spans="1:4" ht="80.099999999999994" customHeight="1">
      <c r="A3" s="12" t="s">
        <v>336</v>
      </c>
      <c r="B3" s="12" t="s">
        <v>337</v>
      </c>
      <c r="C3" s="10" t="s">
        <v>338</v>
      </c>
      <c r="D3" s="21" t="s">
        <v>335</v>
      </c>
    </row>
    <row r="4" spans="1:4" ht="39.950000000000003" customHeight="1">
      <c r="A4" s="12" t="s">
        <v>339</v>
      </c>
      <c r="B4" s="12" t="s">
        <v>340</v>
      </c>
      <c r="C4" s="10" t="s">
        <v>341</v>
      </c>
      <c r="D4" s="21" t="s">
        <v>335</v>
      </c>
    </row>
    <row r="5" spans="1:4" ht="39.950000000000003" customHeight="1">
      <c r="A5" s="12" t="s">
        <v>342</v>
      </c>
      <c r="B5" s="12" t="s">
        <v>343</v>
      </c>
      <c r="C5" s="10" t="s">
        <v>344</v>
      </c>
      <c r="D5" s="21" t="s">
        <v>335</v>
      </c>
    </row>
  </sheetData>
  <dataValidations count="1">
    <dataValidation type="list" allowBlank="1" showInputMessage="1" showErrorMessage="1" sqref="D1:D1048576" xr:uid="{00000000-0002-0000-0A00-000000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2026-01-10T08:04:53Z</dcterms:created>
  <dcterms:modified xsi:type="dcterms:W3CDTF">2026-02-24T18:36:07Z</dcterms:modified>
  <cp:category/>
  <cp:contentStatus/>
</cp:coreProperties>
</file>